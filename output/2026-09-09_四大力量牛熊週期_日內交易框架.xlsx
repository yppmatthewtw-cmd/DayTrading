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現況定位" sheetId="1" state="visible" r:id="rId1"/>
    <sheet xmlns:r="http://schemas.openxmlformats.org/officeDocument/2006/relationships" name="01_宏觀流動性週期" sheetId="2" state="visible" r:id="rId2"/>
    <sheet xmlns:r="http://schemas.openxmlformats.org/officeDocument/2006/relationships" name="02_政治週期" sheetId="3" state="visible" r:id="rId3"/>
    <sheet xmlns:r="http://schemas.openxmlformats.org/officeDocument/2006/relationships" name="03_技術革命週期" sheetId="4" state="visible" r:id="rId4"/>
    <sheet xmlns:r="http://schemas.openxmlformats.org/officeDocument/2006/relationships" name="04_黑天鵝地緣週期" sheetId="5" state="visible" r:id="rId5"/>
    <sheet xmlns:r="http://schemas.openxmlformats.org/officeDocument/2006/relationships" name="05_領先指標儀表板" sheetId="6" state="visible" r:id="rId6"/>
    <sheet xmlns:r="http://schemas.openxmlformats.org/officeDocument/2006/relationships" name="06_日內交易劇本" sheetId="7" state="visible" r:id="rId7"/>
    <sheet xmlns:r="http://schemas.openxmlformats.org/officeDocument/2006/relationships" name="07_資料來源" sheetId="8" state="visible" r:id="rId8"/>
    <sheet xmlns:r="http://schemas.openxmlformats.org/officeDocument/2006/relationships" name="TV_連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95959"/>
      <sz val="9"/>
    </font>
    <font>
      <b val="1"/>
      <color rgb="00FFFFFF"/>
      <sz val="10"/>
    </font>
    <font>
      <sz val="10"/>
    </font>
    <font>
      <b val="1"/>
      <sz val="12"/>
    </font>
    <font>
      <b val="1"/>
      <color rgb="00FFFFFF"/>
      <sz val="13"/>
    </font>
    <font>
      <b val="1"/>
      <sz val="10"/>
    </font>
    <font>
      <b val="1"/>
      <color rgb="00FFFFFF"/>
      <sz val="14"/>
    </font>
    <font>
      <b val="1"/>
      <color rgb="009C6500"/>
      <sz val="10"/>
    </font>
    <font>
      <b val="1"/>
      <color rgb="00FFFFFF"/>
      <sz val="12"/>
    </font>
    <font>
      <b val="1"/>
      <color rgb="009C0006"/>
      <sz val="10"/>
    </font>
    <font>
      <b val="1"/>
      <sz val="11"/>
    </font>
    <font>
      <b val="1"/>
      <color rgb="00006100"/>
      <sz val="10"/>
    </font>
    <font>
      <i val="1"/>
      <color rgb="00808080"/>
      <sz val="9"/>
    </font>
    <font>
      <color rgb="000563C1"/>
      <sz val="10"/>
      <u val="single"/>
    </font>
    <font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2F5FB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9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9" fontId="5" fillId="4" borderId="1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7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2" borderId="0" applyAlignment="1" pivotButton="0" quotePrefix="0" xfId="0">
      <alignment vertical="center"/>
    </xf>
    <xf numFmtId="0" fontId="4" fillId="0" borderId="1" applyAlignment="1" pivotButton="0" quotePrefix="0" xfId="0">
      <alignment vertical="top"/>
    </xf>
    <xf numFmtId="1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" fontId="4" fillId="4" borderId="1" applyAlignment="1" pivotButton="0" quotePrefix="0" xfId="0">
      <alignment vertical="top"/>
    </xf>
    <xf numFmtId="0" fontId="9" fillId="5" borderId="1" applyAlignment="1" pivotButton="0" quotePrefix="0" xfId="0">
      <alignment vertical="top"/>
    </xf>
    <xf numFmtId="1" fontId="9" fillId="5" borderId="1" applyAlignment="1" pivotButton="0" quotePrefix="0" xfId="0">
      <alignment vertical="top"/>
    </xf>
    <xf numFmtId="0" fontId="9" fillId="5" borderId="1" applyAlignment="1" pivotButton="0" quotePrefix="0" xfId="0">
      <alignment vertical="top" wrapText="1"/>
    </xf>
    <xf numFmtId="0" fontId="10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9" fontId="4" fillId="0" borderId="1" applyAlignment="1" pivotButton="0" quotePrefix="0" xfId="0">
      <alignment vertical="top"/>
    </xf>
    <xf numFmtId="9" fontId="4" fillId="4" borderId="1" applyAlignment="1" pivotButton="0" quotePrefix="0" xfId="0">
      <alignment vertical="top"/>
    </xf>
    <xf numFmtId="9" fontId="9" fillId="5" borderId="1" applyAlignment="1" pivotButton="0" quotePrefix="0" xfId="0">
      <alignment vertical="top"/>
    </xf>
    <xf numFmtId="0" fontId="7" fillId="0" borderId="1" pivotButton="0" quotePrefix="0" xfId="0"/>
    <xf numFmtId="0" fontId="11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12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7" fillId="7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/>
    </xf>
    <xf numFmtId="0" fontId="16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15" fillId="4" borderId="1" applyAlignment="1" pivotButton="0" quotePrefix="0" xfId="0">
      <alignment vertical="top"/>
    </xf>
    <xf numFmtId="0" fontId="16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15" fillId="4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15" fillId="4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15" fillId="4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15" fillId="4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15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四大力量：本輪週期已走完的進度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'00_現況定位'!B19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'00_現況定位'!$A$20:$A$23</f>
            </numRef>
          </cat>
          <val>
            <numRef>
              <f>'00_現況定位'!$B$20:$B$23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聯邦基金利率週期高低點 1971–2026（流動性牛熊的骨架）</a:t>
            </a:r>
          </a:p>
        </rich>
      </tx>
    </title>
    <plotArea>
      <lineChart>
        <grouping val="standard"/>
        <ser>
          <idx val="0"/>
          <order val="0"/>
          <tx>
            <strRef>
              <f>'01_宏觀流動性週期'!B25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'01_宏觀流動性週期'!$A$26:$A$43</f>
            </numRef>
          </cat>
          <val>
            <numRef>
              <f>'01_宏觀流動性週期'!$B$26:$B$43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週期起始年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利率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期中選舉年：年內最大回撤 vs 低點後 12 個月漲幅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'02_政治週期'!C4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'02_政治週期'!$A$5:$A$20</f>
            </numRef>
          </cat>
          <val>
            <numRef>
              <f>'02_政治週期'!$C$5:$C$20</f>
            </numRef>
          </val>
        </ser>
        <ser>
          <idx val="1"/>
          <order val="1"/>
          <tx>
            <strRef>
              <f>'02_政治週期'!E4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'02_政治週期'!$A$5:$A$20</f>
            </numRef>
          </cat>
          <val>
            <numRef>
              <f>'02_政治週期'!$E$5:$E$20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期中選舉年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AI 資本開支超級週期：增速尚未見頂 = 泡沫仍在膨脹階段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'03_技術革命週期'!B14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'03_技術革命週期'!$A$15:$A$19</f>
            </numRef>
          </cat>
          <val>
            <numRef>
              <f>'03_技術革命週期'!$B$15:$B$19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十億美元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④ 地緣黑天鵝：標普最大跌幅（1973–2022）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'04_黑天鵝地緣週期'!D4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'04_黑天鵝地緣週期'!$A$5:$A$11</f>
            </numRef>
          </cat>
          <val>
            <numRef>
              <f>'04_黑天鵝地緣週期'!$D$5:$D$11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最大跌幅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24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31</row>
      <rowOff>0</rowOff>
    </from>
    <ext cx="100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24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%3ANVDA" TargetMode="External" Id="rId1"/><Relationship Type="http://schemas.openxmlformats.org/officeDocument/2006/relationships/drawing" Target="/xl/drawings/drawing4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TVC%3AUKOIL" TargetMode="External" Id="rId1"/><Relationship Type="http://schemas.openxmlformats.org/officeDocument/2006/relationships/hyperlink" Target="https://www.tradingview.com/chart/?symbol=TVC%3AUKOIL" TargetMode="External" Id="rId2"/><Relationship Type="http://schemas.openxmlformats.org/officeDocument/2006/relationships/hyperlink" Target="https://www.tradingview.com/chart/?symbol=TVC%3AUS10Y" TargetMode="External" Id="rId3"/><Relationship Type="http://schemas.openxmlformats.org/officeDocument/2006/relationships/hyperlink" Target="https://www.tradingview.com/chart/?symbol=CBOE%3AVIX" TargetMode="External" Id="rId4"/><Relationship Type="http://schemas.openxmlformats.org/officeDocument/2006/relationships/hyperlink" Target="https://www.tradingview.com/chart/?symbol=SP%3ASPX" TargetMode="External" Id="rId5"/><Relationship Type="http://schemas.openxmlformats.org/officeDocument/2006/relationships/hyperlink" Target="https://www.tradingview.com/chart/?symbol=TVC%3AGOLD" TargetMode="External" Id="rId6"/><Relationship Type="http://schemas.openxmlformats.org/officeDocument/2006/relationships/hyperlink" Target="https://www.tradingview.com/chart/?symbol=TVC%3AUKOIL" TargetMode="External" Id="rId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AMEX%3AXLE" TargetMode="External" Id="rId1"/><Relationship Type="http://schemas.openxmlformats.org/officeDocument/2006/relationships/hyperlink" Target="https://www.tradingview.com/chart/?symbol=CBOE%3AVIX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CBOE%3AVIX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%3ANVDA" TargetMode="External" Id="rId1"/><Relationship Type="http://schemas.openxmlformats.org/officeDocument/2006/relationships/hyperlink" Target="https://www.tradingview.com/chart/?symbol=CBOE%3AVIX" TargetMode="External" Id="rId2"/><Relationship Type="http://schemas.openxmlformats.org/officeDocument/2006/relationships/hyperlink" Target="https://www.tradingview.com/chart/?symbol=AMEX%3AXLE" TargetMode="External" Id="rId3"/><Relationship Type="http://schemas.openxmlformats.org/officeDocument/2006/relationships/hyperlink" Target="https://www.tradingview.com/chart/?symbol=TVC%3AGOLD" TargetMode="External" Id="rId4"/><Relationship Type="http://schemas.openxmlformats.org/officeDocument/2006/relationships/hyperlink" Target="https://www.tradingview.com/chart/?symbol=SP%3ASPX" TargetMode="External" Id="rId5"/><Relationship Type="http://schemas.openxmlformats.org/officeDocument/2006/relationships/hyperlink" Target="https://www.tradingview.com/chart/?symbol=TVC%3AUKOIL" TargetMode="External" Id="rId6"/><Relationship Type="http://schemas.openxmlformats.org/officeDocument/2006/relationships/hyperlink" Target="https://www.tradingview.com/chart/?symbol=TVC%3AUS10Y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30" customWidth="1" min="4" max="4"/>
    <col width="34" customWidth="1" min="5" max="5"/>
    <col width="34" customWidth="1" min="6" max="6"/>
    <col width="16" customWidth="1" min="7" max="7"/>
  </cols>
  <sheetData>
    <row r="1" ht="24" customHeight="1">
      <c r="A1" s="1" t="inlineStr">
        <is>
          <t>四大力量牛熊週期定位儀表板    資料截至 2026-09-09</t>
        </is>
      </c>
    </row>
    <row r="2">
      <c r="A2" s="2" t="inlineStr">
        <is>
          <t>階段進度 = 該力量在本輪週期中已走完的百分比估算（0% = 週期起點，100% = 週期完結/反轉）。</t>
        </is>
      </c>
    </row>
    <row r="3"/>
    <row r="4" ht="30" customHeight="1">
      <c r="A4" s="3" t="inlineStr">
        <is>
          <t>力量</t>
        </is>
      </c>
      <c r="B4" s="3" t="inlineStr">
        <is>
          <t>本輪週期</t>
        </is>
      </c>
      <c r="C4" s="3" t="inlineStr">
        <is>
          <t>階段進度</t>
        </is>
      </c>
      <c r="D4" s="3" t="inlineStr">
        <is>
          <t>目前所處階段</t>
        </is>
      </c>
      <c r="E4" s="3" t="inlineStr">
        <is>
          <t>上一個轉折點（觸發事件）</t>
        </is>
      </c>
      <c r="F4" s="3" t="inlineStr">
        <is>
          <t>下一個轉折點（需要看到什麼）</t>
        </is>
      </c>
      <c r="G4" s="3" t="inlineStr">
        <is>
          <t>對股市方向</t>
        </is>
      </c>
    </row>
    <row r="5" ht="78" customHeight="1">
      <c r="A5" s="4" t="inlineStr">
        <is>
          <t>① 宏觀流動性
（息口）</t>
        </is>
      </c>
      <c r="B5" s="4" t="inlineStr">
        <is>
          <t>2024-09 減息 → 2026 轉鷹</t>
        </is>
      </c>
      <c r="C5" s="5" t="n">
        <v>0.9</v>
      </c>
      <c r="D5" s="4" t="inlineStr">
        <is>
          <t>寬鬆週期已結束，處於
『政策轉向再收緊』的門檻上</t>
        </is>
      </c>
      <c r="E5" s="4" t="inlineStr">
        <is>
          <t>2025-12 最後一次減息至 3.50–3.75%；
2026-05 Warsh 接任主席宣示 regime change</t>
        </is>
      </c>
      <c r="F5" s="4" t="inlineStr">
        <is>
          <t>9/16 FOMC 加息或點陣圖上移 = 正式進入收緊；
反之若油價回落、頭條CPI&lt;3% 則延續觀望</t>
        </is>
      </c>
      <c r="G5" s="4" t="inlineStr">
        <is>
          <t>偏空（估值壓縮）</t>
        </is>
      </c>
    </row>
    <row r="6" ht="78" customHeight="1">
      <c r="A6" s="6" t="inlineStr">
        <is>
          <t>② 政治週期
（總統）</t>
        </is>
      </c>
      <c r="B6" s="6" t="inlineStr">
        <is>
          <t>Trump 第二任期第 2 年
（期中選舉年）</t>
        </is>
      </c>
      <c r="C6" s="7" t="n">
        <v>0.75</v>
      </c>
      <c r="D6" s="6" t="inlineStr">
        <is>
          <t>四年週期最弱的一段：
第2年 Q3–Q4『築底期』</t>
        </is>
      </c>
      <c r="E6" s="6" t="inlineStr">
        <is>
          <t>2026-01 起支持度自 50%+ 跌至高 30%；
施政受阻、分裂政府預期升溫</t>
        </is>
      </c>
      <c r="F6" s="6" t="inlineStr">
        <is>
          <t>11/3 期中選舉揭盅 = 不確定性出清點；
1950 年以來期中選舉後 12 個月標普 100% 上漲</t>
        </is>
      </c>
      <c r="G6" s="6" t="inlineStr">
        <is>
          <t>短空長多（拐點將近）</t>
        </is>
      </c>
    </row>
    <row r="7" ht="78" customHeight="1">
      <c r="A7" s="4" t="inlineStr">
        <is>
          <t>③ 技術革命
（產業）</t>
        </is>
      </c>
      <c r="B7" s="4" t="inlineStr">
        <is>
          <t>AI 資本開支超級週期
2023 →</t>
        </is>
      </c>
      <c r="C7" s="5" t="n">
        <v>0.65</v>
      </c>
      <c r="D7" s="4" t="inlineStr">
        <is>
          <t>資本開支高潮期（加速段末端），
尚未進入狂熱崩解</t>
        </is>
      </c>
      <c r="E7" s="4" t="inlineStr">
        <is>
          <t>2026 五大雲廠 capex 指引升至 7,750–8,000 億美元
（2025: 4,100億 / 2024: 2,380億）</t>
        </is>
      </c>
      <c r="F7" s="4" t="inlineStr">
        <is>
          <t>首次出現 capex 指引下修、折舊年限爭議、
債務融資 capex 利差擴大 = 見頂訊號</t>
        </is>
      </c>
      <c r="G7" s="4" t="inlineStr">
        <is>
          <t>偏多（唯一支撐力量）</t>
        </is>
      </c>
    </row>
    <row r="8" ht="78" customHeight="1">
      <c r="A8" s="6" t="inlineStr">
        <is>
          <t>④ 黑天鵝
（地緣/戰爭）</t>
        </is>
      </c>
      <c r="B8" s="6" t="inlineStr">
        <is>
          <t>2026 伊朗戰爭 /
荷姆茲海峽危機</t>
        </is>
      </c>
      <c r="C8" s="7" t="n">
        <v>0.55</v>
      </c>
      <c r="D8" s="6" t="inlineStr">
        <is>
          <t>由『衝擊期』轉入『持久消耗期』，
尚未見到解決催化劑</t>
        </is>
      </c>
      <c r="E8" s="6" t="inlineStr">
        <is>
          <t>2026-02-28 美以空襲伊朗；03-19 海峽關閉；
07-14 恢復海上封鎖；9月油輪戰持續</t>
        </is>
      </c>
      <c r="F8" s="6" t="inlineStr">
        <is>
          <t>停火/換屆談判、伊朗石油恢復出口，
或需求破壞使 Brent 回落至 80 以下</t>
        </is>
      </c>
      <c r="G8" s="6" t="inlineStr">
        <is>
          <t>偏空（透過油價傳導）</t>
        </is>
      </c>
    </row>
    <row r="9"/>
    <row r="10" ht="24" customHeight="1">
      <c r="A10" s="8" t="inlineStr">
        <is>
          <t>核心結論：四力合成判斷</t>
        </is>
      </c>
    </row>
    <row r="11" ht="30" customHeight="1">
      <c r="A11" s="3" t="inlineStr">
        <is>
          <t>項目</t>
        </is>
      </c>
      <c r="B11" s="3" t="inlineStr">
        <is>
          <t>說明</t>
        </is>
      </c>
    </row>
    <row r="12" ht="46" customHeight="1">
      <c r="A12" s="9" t="inlineStr">
        <is>
          <t>主線邏輯</t>
        </is>
      </c>
      <c r="B12" s="4" t="inlineStr">
        <is>
          <t>荷姆茲海峽供應中斷 → Brent 按年 +46.7% → 頭條CPI 3.4% 高於核心 2.5%（差距 0.9pt 全來自能源） → 鷹派新主席 Warsh 被迫考慮加息 → 10 年期 4.77% → 對一個由 AI 成長定價的 7,681 點標普造成估值壓縮。四大力量中有三個同時指向逆風，唯一支撐是 AI 資本開支。</t>
        </is>
      </c>
      <c r="C12" s="10" t="n"/>
      <c r="D12" s="10" t="n"/>
      <c r="E12" s="10" t="n"/>
      <c r="F12" s="10" t="n"/>
      <c r="G12" s="11" t="n"/>
    </row>
    <row r="13" ht="46" customHeight="1">
      <c r="A13" s="9" t="inlineStr">
        <is>
          <t>最大不對稱</t>
        </is>
      </c>
      <c r="B13" s="4" t="inlineStr">
        <is>
          <t>VIX 只有 15.3，但油價按年 +46.7%、加息機率 60%、10年期 4.77%。『低波動 + 高尾部風險』= 保護成本極低而風險未被定價，這是目前市場最錯價的地方。</t>
        </is>
      </c>
      <c r="C13" s="10" t="n"/>
      <c r="D13" s="10" t="n"/>
      <c r="E13" s="10" t="n"/>
      <c r="F13" s="10" t="n"/>
      <c r="G13" s="11" t="n"/>
    </row>
    <row r="14" ht="46" customHeight="1">
      <c r="A14" s="9" t="inlineStr">
        <is>
          <t>歷史對標</t>
        </is>
      </c>
      <c r="B14" s="4" t="inlineStr">
        <is>
          <t>1973–74（禁運 + 收緊 + 水門/期中年）、1990（科威特 + 衰退 + 期中年）、2022（烏克蘭 + 最快加息 + 期中年）。三次的共通結構與現在高度相似，且三次的底部都出現在期中選舉年的 Q3–Q4。</t>
        </is>
      </c>
      <c r="C14" s="10" t="n"/>
      <c r="D14" s="10" t="n"/>
      <c r="E14" s="10" t="n"/>
      <c r="F14" s="10" t="n"/>
      <c r="G14" s="11" t="n"/>
    </row>
    <row r="15" ht="46" customHeight="1">
      <c r="A15" s="9" t="inlineStr">
        <is>
          <t>時間窗</t>
        </is>
      </c>
      <c r="B15" s="4" t="inlineStr">
        <is>
          <t>9/11 CPI 與 9/16 FOMC 是本輪最密集的風險窗口；11/3 期中選舉是不確定性出清點。歷史型態指向『10 月前後築底、選後至翌年 Q2 為最強上升段』。</t>
        </is>
      </c>
      <c r="C15" s="10" t="n"/>
      <c r="D15" s="10" t="n"/>
      <c r="E15" s="10" t="n"/>
      <c r="F15" s="10" t="n"/>
      <c r="G15" s="11" t="n"/>
    </row>
    <row r="16" ht="46" customHeight="1">
      <c r="A16" s="9" t="inlineStr">
        <is>
          <t>定位建議</t>
        </is>
      </c>
      <c r="B16" s="4" t="inlineStr">
        <is>
          <t>戰術上防守（現金/能源/黃金/短天期），戰略上準備在 Q4 的恐慌中建倉。不要在 7,600 之上追多，也不要在 VIX 低於 16 時裸露空頭 gamma。</t>
        </is>
      </c>
      <c r="C16" s="10" t="n"/>
      <c r="D16" s="10" t="n"/>
      <c r="E16" s="10" t="n"/>
      <c r="F16" s="10" t="n"/>
      <c r="G16" s="11" t="n"/>
    </row>
    <row r="17"/>
    <row r="18"/>
    <row r="19" hidden="1">
      <c r="A19" t="inlineStr">
        <is>
          <t>力量</t>
        </is>
      </c>
      <c r="B19" t="inlineStr">
        <is>
          <t>階段進度</t>
        </is>
      </c>
    </row>
    <row r="20" hidden="1">
      <c r="A20" t="inlineStr">
        <is>
          <t>① 宏觀流動性（息口）</t>
        </is>
      </c>
      <c r="B20" t="n">
        <v>90</v>
      </c>
    </row>
    <row r="21" hidden="1">
      <c r="A21" t="inlineStr">
        <is>
          <t>② 政治週期（總統）</t>
        </is>
      </c>
      <c r="B21" t="n">
        <v>75</v>
      </c>
    </row>
    <row r="22" hidden="1">
      <c r="A22" t="inlineStr">
        <is>
          <t>③ 技術革命（產業）</t>
        </is>
      </c>
      <c r="B22" t="n">
        <v>65</v>
      </c>
    </row>
    <row r="23" hidden="1">
      <c r="A23" t="inlineStr">
        <is>
          <t>④ 黑天鵝（地緣/戰爭）</t>
        </is>
      </c>
      <c r="B23" t="n">
        <v>55</v>
      </c>
    </row>
  </sheetData>
  <mergeCells count="8">
    <mergeCell ref="B16:G16"/>
    <mergeCell ref="A1:G1"/>
    <mergeCell ref="B14:G14"/>
    <mergeCell ref="A2:G2"/>
    <mergeCell ref="B12:G12"/>
    <mergeCell ref="B13:G13"/>
    <mergeCell ref="B15:G15"/>
    <mergeCell ref="A10:G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3" customWidth="1" min="4" max="4"/>
    <col width="36" customWidth="1" min="5" max="5"/>
    <col width="14" customWidth="1" min="6" max="6"/>
    <col width="11" customWidth="1" min="7" max="7"/>
    <col width="36" customWidth="1" min="8" max="8"/>
  </cols>
  <sheetData>
    <row r="1" ht="24" customHeight="1">
      <c r="A1" s="12" t="inlineStr">
        <is>
          <t>① 宏觀流動性（息口）牛熊週期  1970–2026</t>
        </is>
      </c>
    </row>
    <row r="2">
      <c r="A2" s="2" t="inlineStr">
        <is>
          <t>峰值利率 = 該收緊週期的聯邦基金利率高點；谷值利率 = 該寬鬆週期的低點。標普報酬為該區間近似總幅度。</t>
        </is>
      </c>
    </row>
    <row r="3"/>
    <row r="4" ht="30" customHeight="1">
      <c r="A4" s="3" t="inlineStr">
        <is>
          <t>週期</t>
        </is>
      </c>
      <c r="B4" s="3" t="inlineStr">
        <is>
          <t>起</t>
        </is>
      </c>
      <c r="C4" s="3" t="inlineStr">
        <is>
          <t>迄</t>
        </is>
      </c>
      <c r="D4" s="3" t="inlineStr">
        <is>
          <t>政策方向</t>
        </is>
      </c>
      <c r="E4" s="3" t="inlineStr">
        <is>
          <t>轉折觸發事件</t>
        </is>
      </c>
      <c r="F4" s="3" t="inlineStr">
        <is>
          <t>峰/谷利率(%)</t>
        </is>
      </c>
      <c r="G4" s="3" t="inlineStr">
        <is>
          <t>標普期間</t>
        </is>
      </c>
      <c r="H4" s="3" t="inlineStr">
        <is>
          <t>股市階段特徵</t>
        </is>
      </c>
    </row>
    <row r="5" ht="30" customHeight="1">
      <c r="A5" s="13" t="inlineStr">
        <is>
          <t>收緊</t>
        </is>
      </c>
      <c r="B5" s="13" t="n">
        <v>1971</v>
      </c>
      <c r="C5" s="14" t="n">
        <v>1974</v>
      </c>
      <c r="D5" s="13" t="inlineStr">
        <is>
          <t>Burns 收緊</t>
        </is>
      </c>
      <c r="E5" s="4" t="inlineStr">
        <is>
          <t>1973 阿拉伯石油禁運 → 停滯性通脹</t>
        </is>
      </c>
      <c r="F5" s="13" t="n">
        <v>13</v>
      </c>
      <c r="G5" s="13" t="inlineStr">
        <is>
          <t>-48%</t>
        </is>
      </c>
      <c r="H5" s="4" t="inlineStr">
        <is>
          <t>熊市：通脹+衰退雙殺，估值與盈利同跌</t>
        </is>
      </c>
    </row>
    <row r="6" ht="30" customHeight="1">
      <c r="A6" s="15" t="inlineStr">
        <is>
          <t>寬鬆</t>
        </is>
      </c>
      <c r="B6" s="15" t="n">
        <v>1975</v>
      </c>
      <c r="C6" s="16" t="n">
        <v>1976</v>
      </c>
      <c r="D6" s="15" t="inlineStr">
        <is>
          <t>急速減息</t>
        </is>
      </c>
      <c r="E6" s="6" t="inlineStr">
        <is>
          <t>1974-10 標普見底、通脹回落</t>
        </is>
      </c>
      <c r="F6" s="15" t="n">
        <v>4.75</v>
      </c>
      <c r="G6" s="15" t="inlineStr">
        <is>
          <t>+66%</t>
        </is>
      </c>
      <c r="H6" s="6" t="inlineStr">
        <is>
          <t>牛市第一段：估值修復</t>
        </is>
      </c>
    </row>
    <row r="7" ht="30" customHeight="1">
      <c r="A7" s="13" t="inlineStr">
        <is>
          <t>收緊</t>
        </is>
      </c>
      <c r="B7" s="13" t="n">
        <v>1977</v>
      </c>
      <c r="C7" s="14" t="n">
        <v>1981</v>
      </c>
      <c r="D7" s="13" t="inlineStr">
        <is>
          <t>Volcker 震撼療法</t>
        </is>
      </c>
      <c r="E7" s="4" t="inlineStr">
        <is>
          <t>1979 伊朗革命第二次油震 → 1979-08 Volcker 上任</t>
        </is>
      </c>
      <c r="F7" s="13" t="n">
        <v>20</v>
      </c>
      <c r="G7" s="13" t="inlineStr">
        <is>
          <t>-27%</t>
        </is>
      </c>
      <c r="H7" s="4" t="inlineStr">
        <is>
          <t>熊市：利率史上最高，但1980後段開始領先築底</t>
        </is>
      </c>
    </row>
    <row r="8" ht="30" customHeight="1">
      <c r="A8" s="15" t="inlineStr">
        <is>
          <t>寬鬆</t>
        </is>
      </c>
      <c r="B8" s="15" t="n">
        <v>1982</v>
      </c>
      <c r="C8" s="16" t="n">
        <v>1986</v>
      </c>
      <c r="D8" s="15" t="inlineStr">
        <is>
          <t>解除通脹後大寬鬆</t>
        </is>
      </c>
      <c r="E8" s="6" t="inlineStr">
        <is>
          <t>1982-08 Volcker 轉向 → 世紀大牛市起點</t>
        </is>
      </c>
      <c r="F8" s="15" t="n">
        <v>5.88</v>
      </c>
      <c r="G8" s="15" t="inlineStr">
        <is>
          <t>+229%</t>
        </is>
      </c>
      <c r="H8" s="6" t="inlineStr">
        <is>
          <t>牛市主升段：估值大擴張</t>
        </is>
      </c>
    </row>
    <row r="9" ht="30" customHeight="1">
      <c r="A9" s="13" t="inlineStr">
        <is>
          <t>收緊</t>
        </is>
      </c>
      <c r="B9" s="13" t="n">
        <v>1987</v>
      </c>
      <c r="C9" s="14" t="n">
        <v>1989</v>
      </c>
      <c r="D9" s="13" t="inlineStr">
        <is>
          <t>防過熱收緊</t>
        </is>
      </c>
      <c r="E9" s="4" t="inlineStr">
        <is>
          <t>1987-10-19 黑色星期一（單日 -22.6%）</t>
        </is>
      </c>
      <c r="F9" s="13" t="n">
        <v>9.75</v>
      </c>
      <c r="G9" s="13" t="inlineStr">
        <is>
          <t>-33%(單次)</t>
        </is>
      </c>
      <c r="H9" s="4" t="inlineStr">
        <is>
          <t>急跌但無衰退：流動性快速救援</t>
        </is>
      </c>
    </row>
    <row r="10" ht="30" customHeight="1">
      <c r="A10" s="15" t="inlineStr">
        <is>
          <t>寬鬆</t>
        </is>
      </c>
      <c r="B10" s="15" t="n">
        <v>1989</v>
      </c>
      <c r="C10" s="16" t="n">
        <v>1992</v>
      </c>
      <c r="D10" s="15" t="inlineStr">
        <is>
          <t>S&amp;L 危機 + 波灣戰</t>
        </is>
      </c>
      <c r="E10" s="6" t="inlineStr">
        <is>
          <t>1990-08 伊拉克入侵科威特 → 衰退</t>
        </is>
      </c>
      <c r="F10" s="15" t="n">
        <v>3</v>
      </c>
      <c r="G10" s="15" t="inlineStr">
        <is>
          <t>-20%</t>
        </is>
      </c>
      <c r="H10" s="6" t="inlineStr">
        <is>
          <t>熊市短促：1990-10 見底</t>
        </is>
      </c>
    </row>
    <row r="11" ht="30" customHeight="1">
      <c r="A11" s="13" t="inlineStr">
        <is>
          <t>收緊</t>
        </is>
      </c>
      <c r="B11" s="13" t="n">
        <v>1994</v>
      </c>
      <c r="C11" s="14" t="n">
        <v>1995</v>
      </c>
      <c r="D11" s="13" t="inlineStr">
        <is>
          <t>預防式加息</t>
        </is>
      </c>
      <c r="E11" s="4" t="inlineStr">
        <is>
          <t>1994 債市大屠殺（債券史上最差年）</t>
        </is>
      </c>
      <c r="F11" s="13" t="n">
        <v>6</v>
      </c>
      <c r="G11" s="13" t="inlineStr">
        <is>
          <t>+1%</t>
        </is>
      </c>
      <c r="H11" s="4" t="inlineStr">
        <is>
          <t>股市橫行、債市重挫</t>
        </is>
      </c>
    </row>
    <row r="12" ht="30" customHeight="1">
      <c r="A12" s="15" t="inlineStr">
        <is>
          <t>寬鬆</t>
        </is>
      </c>
      <c r="B12" s="15" t="n">
        <v>1995</v>
      </c>
      <c r="C12" s="16" t="n">
        <v>1998</v>
      </c>
      <c r="D12" s="15" t="inlineStr">
        <is>
          <t>軟著陸 + LTCM 救援</t>
        </is>
      </c>
      <c r="E12" s="6" t="inlineStr">
        <is>
          <t>1998-09 LTCM 倒閉 → 三次保險式減息</t>
        </is>
      </c>
      <c r="F12" s="15" t="n">
        <v>4.75</v>
      </c>
      <c r="G12" s="15" t="inlineStr">
        <is>
          <t>+117%</t>
        </is>
      </c>
      <c r="H12" s="6" t="inlineStr">
        <is>
          <t>牛市：軟著陸的教科書案例</t>
        </is>
      </c>
    </row>
    <row r="13" ht="30" customHeight="1">
      <c r="A13" s="13" t="inlineStr">
        <is>
          <t>收緊</t>
        </is>
      </c>
      <c r="B13" s="13" t="n">
        <v>1999</v>
      </c>
      <c r="C13" s="14" t="n">
        <v>2000</v>
      </c>
      <c r="D13" s="13" t="inlineStr">
        <is>
          <t>打壓科網泡沫</t>
        </is>
      </c>
      <c r="E13" s="4" t="inlineStr">
        <is>
          <t>2000-03 納指見頂 → 科網爆破</t>
        </is>
      </c>
      <c r="F13" s="13" t="n">
        <v>6.5</v>
      </c>
      <c r="G13" s="13" t="inlineStr">
        <is>
          <t>-49%</t>
        </is>
      </c>
      <c r="H13" s="4" t="inlineStr">
        <is>
          <t>熊市：估值崩潰為主因</t>
        </is>
      </c>
    </row>
    <row r="14" ht="30" customHeight="1">
      <c r="A14" s="15" t="inlineStr">
        <is>
          <t>寬鬆</t>
        </is>
      </c>
      <c r="B14" s="15" t="n">
        <v>2001</v>
      </c>
      <c r="C14" s="16" t="n">
        <v>2003</v>
      </c>
      <c r="D14" s="15" t="inlineStr">
        <is>
          <t>911 + 通縮防禦</t>
        </is>
      </c>
      <c r="E14" s="6" t="inlineStr">
        <is>
          <t>2003-03 伊拉克戰爭開打當日見底</t>
        </is>
      </c>
      <c r="F14" s="15" t="n">
        <v>1</v>
      </c>
      <c r="G14" s="15" t="inlineStr">
        <is>
          <t>+34%</t>
        </is>
      </c>
      <c r="H14" s="6" t="inlineStr">
        <is>
          <t>牛市重啟</t>
        </is>
      </c>
    </row>
    <row r="15" ht="30" customHeight="1">
      <c r="A15" s="13" t="inlineStr">
        <is>
          <t>收緊</t>
        </is>
      </c>
      <c r="B15" s="13" t="n">
        <v>2004</v>
      </c>
      <c r="C15" s="14" t="n">
        <v>2006</v>
      </c>
      <c r="D15" s="13" t="inlineStr">
        <is>
          <t>循序漸進加息</t>
        </is>
      </c>
      <c r="E15" s="4" t="inlineStr">
        <is>
          <t>2006 樓價見頂 → 次按裂縫</t>
        </is>
      </c>
      <c r="F15" s="13" t="n">
        <v>5.25</v>
      </c>
      <c r="G15" s="13" t="inlineStr">
        <is>
          <t>+35%</t>
        </is>
      </c>
      <c r="H15" s="4" t="inlineStr">
        <is>
          <t>後期牛市：信貸驅動</t>
        </is>
      </c>
    </row>
    <row r="16" ht="30" customHeight="1">
      <c r="A16" s="15" t="inlineStr">
        <is>
          <t>寬鬆</t>
        </is>
      </c>
      <c r="B16" s="15" t="n">
        <v>2007</v>
      </c>
      <c r="C16" s="16" t="n">
        <v>2008</v>
      </c>
      <c r="D16" s="15" t="inlineStr">
        <is>
          <t>GFC + QE1</t>
        </is>
      </c>
      <c r="E16" s="6" t="inlineStr">
        <is>
          <t>2008-09 雷曼倒閉</t>
        </is>
      </c>
      <c r="F16" s="15" t="n">
        <v>0.25</v>
      </c>
      <c r="G16" s="15" t="inlineStr">
        <is>
          <t>-57%</t>
        </is>
      </c>
      <c r="H16" s="6" t="inlineStr">
        <is>
          <t>史詩級熊市：信貸+去槓桿</t>
        </is>
      </c>
    </row>
    <row r="17" ht="30" customHeight="1">
      <c r="A17" s="13" t="inlineStr">
        <is>
          <t>寬鬆</t>
        </is>
      </c>
      <c r="B17" s="13" t="n">
        <v>2009</v>
      </c>
      <c r="C17" s="14" t="n">
        <v>2015</v>
      </c>
      <c r="D17" s="13" t="inlineStr">
        <is>
          <t>ZIRP + QE2/3</t>
        </is>
      </c>
      <c r="E17" s="4" t="inlineStr">
        <is>
          <t>2013 縮減恐慌（Taper Tantrum）</t>
        </is>
      </c>
      <c r="F17" s="13" t="n">
        <v>0.25</v>
      </c>
      <c r="G17" s="13" t="inlineStr">
        <is>
          <t>+205%</t>
        </is>
      </c>
      <c r="H17" s="4" t="inlineStr">
        <is>
          <t>十年大牛市：流動性定價一切</t>
        </is>
      </c>
    </row>
    <row r="18" ht="30" customHeight="1">
      <c r="A18" s="15" t="inlineStr">
        <is>
          <t>收緊</t>
        </is>
      </c>
      <c r="B18" s="15" t="n">
        <v>2015</v>
      </c>
      <c r="C18" s="16" t="n">
        <v>2018</v>
      </c>
      <c r="D18" s="15" t="inlineStr">
        <is>
          <t>正常化 + 縮表</t>
        </is>
      </c>
      <c r="E18" s="6" t="inlineStr">
        <is>
          <t>2018-Q4 縮表過度 → 單季 -19.8%</t>
        </is>
      </c>
      <c r="F18" s="15" t="n">
        <v>2.5</v>
      </c>
      <c r="G18" s="15" t="inlineStr">
        <is>
          <t>+22%</t>
        </is>
      </c>
      <c r="H18" s="6" t="inlineStr">
        <is>
          <t>牛市末段，Q4 急跌</t>
        </is>
      </c>
    </row>
    <row r="19" ht="30" customHeight="1">
      <c r="A19" s="13" t="inlineStr">
        <is>
          <t>寬鬆</t>
        </is>
      </c>
      <c r="B19" s="13" t="n">
        <v>2019</v>
      </c>
      <c r="C19" s="14" t="n">
        <v>2021</v>
      </c>
      <c r="D19" s="13" t="inlineStr">
        <is>
          <t>保險式減息 + COVID 無限QE</t>
        </is>
      </c>
      <c r="E19" s="4" t="inlineStr">
        <is>
          <t>2020-03 COVID 崩盤 → 無限量QE</t>
        </is>
      </c>
      <c r="F19" s="13" t="n">
        <v>0.25</v>
      </c>
      <c r="G19" s="13" t="inlineStr">
        <is>
          <t>+114%</t>
        </is>
      </c>
      <c r="H19" s="4" t="inlineStr">
        <is>
          <t>V 型 + 泡沫化牛市</t>
        </is>
      </c>
    </row>
    <row r="20" ht="30" customHeight="1">
      <c r="A20" s="15" t="inlineStr">
        <is>
          <t>收緊</t>
        </is>
      </c>
      <c r="B20" s="15" t="n">
        <v>2022</v>
      </c>
      <c r="C20" s="16" t="n">
        <v>2023</v>
      </c>
      <c r="D20" s="15" t="inlineStr">
        <is>
          <t>40年來最快加息</t>
        </is>
      </c>
      <c r="E20" s="6" t="inlineStr">
        <is>
          <t>2022 通脹 9.1% → 一年加 525bp</t>
        </is>
      </c>
      <c r="F20" s="15" t="n">
        <v>5.5</v>
      </c>
      <c r="G20" s="15" t="inlineStr">
        <is>
          <t>-25%</t>
        </is>
      </c>
      <c r="H20" s="6" t="inlineStr">
        <is>
          <t>熊市：估值壓縮，2022-10 見底</t>
        </is>
      </c>
    </row>
    <row r="21" ht="30" customHeight="1">
      <c r="A21" s="13" t="inlineStr">
        <is>
          <t>寬鬆</t>
        </is>
      </c>
      <c r="B21" s="13" t="n">
        <v>2024</v>
      </c>
      <c r="C21" s="14" t="n">
        <v>2025</v>
      </c>
      <c r="D21" s="13" t="inlineStr">
        <is>
          <t>校準式減息</t>
        </is>
      </c>
      <c r="E21" s="4" t="inlineStr">
        <is>
          <t>2025-12 最後一次減息至 3.50–3.75% 後暫停</t>
        </is>
      </c>
      <c r="F21" s="13" t="n">
        <v>3.625</v>
      </c>
      <c r="G21" s="13" t="inlineStr">
        <is>
          <t>+50%</t>
        </is>
      </c>
      <c r="H21" s="4" t="inlineStr">
        <is>
          <t>牛市：AI 主導的窄幅上升</t>
        </is>
      </c>
    </row>
    <row r="22" ht="30" customHeight="1">
      <c r="A22" s="17" t="inlineStr">
        <is>
          <t>轉鷹?</t>
        </is>
      </c>
      <c r="B22" s="17" t="n">
        <v>2026</v>
      </c>
      <c r="C22" s="18" t="n">
        <v>0</v>
      </c>
      <c r="D22" s="17" t="inlineStr">
        <is>
          <t>Warsh regime change</t>
        </is>
      </c>
      <c r="E22" s="19" t="inlineStr">
        <is>
          <t>2026-05 Warsh 上任；油價推高頭條CPI 至 3.4%；市場定價 60% 加息機率</t>
        </is>
      </c>
      <c r="F22" s="17" t="n">
        <v>3.625</v>
      </c>
      <c r="G22" s="17" t="inlineStr">
        <is>
          <t>區間</t>
        </is>
      </c>
      <c r="H22" s="19" t="inlineStr">
        <is>
          <t>★ 現在位置：寬鬆已完、收緊未確認的『真空期』</t>
        </is>
      </c>
    </row>
    <row r="23"/>
    <row r="24"/>
    <row r="25" hidden="1">
      <c r="A25" t="inlineStr">
        <is>
          <t>年</t>
        </is>
      </c>
      <c r="B25" t="inlineStr">
        <is>
          <t>聯邦基金利率 (%)</t>
        </is>
      </c>
    </row>
    <row r="26" hidden="1">
      <c r="A26" t="n">
        <v>1971</v>
      </c>
      <c r="B26" t="n">
        <v>13</v>
      </c>
    </row>
    <row r="27" hidden="1">
      <c r="A27" t="n">
        <v>1975</v>
      </c>
      <c r="B27" t="n">
        <v>4.75</v>
      </c>
    </row>
    <row r="28" hidden="1">
      <c r="A28" t="n">
        <v>1977</v>
      </c>
      <c r="B28" t="n">
        <v>20</v>
      </c>
    </row>
    <row r="29" hidden="1">
      <c r="A29" t="n">
        <v>1982</v>
      </c>
      <c r="B29" t="n">
        <v>5.88</v>
      </c>
    </row>
    <row r="30" hidden="1">
      <c r="A30" t="n">
        <v>1987</v>
      </c>
      <c r="B30" t="n">
        <v>9.75</v>
      </c>
    </row>
    <row r="31" hidden="1">
      <c r="A31" t="n">
        <v>1989</v>
      </c>
      <c r="B31" t="n">
        <v>3</v>
      </c>
    </row>
    <row r="32" hidden="1">
      <c r="A32" t="n">
        <v>1994</v>
      </c>
      <c r="B32" t="n">
        <v>6</v>
      </c>
    </row>
    <row r="33" hidden="1">
      <c r="A33" t="n">
        <v>1995</v>
      </c>
      <c r="B33" t="n">
        <v>4.75</v>
      </c>
    </row>
    <row r="34" hidden="1">
      <c r="A34" t="n">
        <v>1999</v>
      </c>
      <c r="B34" t="n">
        <v>6.5</v>
      </c>
    </row>
    <row r="35" hidden="1">
      <c r="A35" t="n">
        <v>2001</v>
      </c>
      <c r="B35" t="n">
        <v>1</v>
      </c>
    </row>
    <row r="36" hidden="1">
      <c r="A36" t="n">
        <v>2004</v>
      </c>
      <c r="B36" t="n">
        <v>5.25</v>
      </c>
    </row>
    <row r="37" hidden="1">
      <c r="A37" t="n">
        <v>2007</v>
      </c>
      <c r="B37" t="n">
        <v>0.25</v>
      </c>
    </row>
    <row r="38" hidden="1">
      <c r="A38" t="n">
        <v>2009</v>
      </c>
      <c r="B38" t="n">
        <v>0.25</v>
      </c>
    </row>
    <row r="39" hidden="1">
      <c r="A39" t="n">
        <v>2015</v>
      </c>
      <c r="B39" t="n">
        <v>2.5</v>
      </c>
    </row>
    <row r="40" hidden="1">
      <c r="A40" t="n">
        <v>2019</v>
      </c>
      <c r="B40" t="n">
        <v>0.25</v>
      </c>
    </row>
    <row r="41" hidden="1">
      <c r="A41" t="n">
        <v>2022</v>
      </c>
      <c r="B41" t="n">
        <v>5.5</v>
      </c>
    </row>
    <row r="42" hidden="1">
      <c r="A42" t="n">
        <v>2024</v>
      </c>
      <c r="B42" t="n">
        <v>3.625</v>
      </c>
    </row>
    <row r="43" hidden="1">
      <c r="A43" t="n">
        <v>2026</v>
      </c>
      <c r="B43" t="n">
        <v>3.625</v>
      </c>
    </row>
    <row r="44" ht="24" customHeight="1">
      <c r="A44" s="20" t="inlineStr">
        <is>
          <t>階段判讀</t>
        </is>
      </c>
    </row>
    <row r="45" ht="74" customHeight="1">
      <c r="A45" s="21" t="inlineStr">
        <is>
          <t>規律：過去 50 年，每一次『油價衝擊 + 央行被迫由鴿轉鷹』的組合都導致 12–24 個月內的熊市或深度修正（1973、1979、1990、2022）。唯一例外是 1998 年——當時油價是下跌的。
現在：聯邦基金停在 3.50–3.75% 已 9 個月，寬鬆週期實質結束。9/16 FOMC 的點陣圖是本輪流動性週期方向的裁決點。
領先指標優先序：① Brent 是否站穩 100 → ② 頭條CPI 與核心CPI 的差距是否擴大 → ③ 加息機率定價 → ④ 10年期是否破 5.0%。</t>
        </is>
      </c>
    </row>
  </sheetData>
  <mergeCells count="4">
    <mergeCell ref="A45:H45"/>
    <mergeCell ref="A2:H2"/>
    <mergeCell ref="A44:H4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4" customWidth="1" min="4" max="4"/>
    <col width="16" customWidth="1" min="5" max="5"/>
    <col width="18" customWidth="1" min="6" max="6"/>
    <col width="40" customWidth="1" min="7" max="7"/>
  </cols>
  <sheetData>
    <row r="1" ht="24" customHeight="1">
      <c r="A1" s="12" t="inlineStr">
        <is>
          <t>② 政治週期（總統四年週期）：期中選舉年的牛熊型態  1962–2026</t>
        </is>
      </c>
    </row>
    <row r="2">
      <c r="A2" s="2" t="inlineStr">
        <is>
          <t>期中選舉年是四年週期中最弱的一年，但其低點往往是下一輪主升段的起點。最大回撤為該年度內的高至低幅度（近似值）。</t>
        </is>
      </c>
    </row>
    <row r="3"/>
    <row r="4" ht="30" customHeight="1">
      <c r="A4" s="3" t="inlineStr">
        <is>
          <t>期中年</t>
        </is>
      </c>
      <c r="B4" s="3" t="inlineStr">
        <is>
          <t>當年主導事件</t>
        </is>
      </c>
      <c r="C4" s="3" t="inlineStr">
        <is>
          <t>年內最大回撤</t>
        </is>
      </c>
      <c r="D4" s="3" t="inlineStr">
        <is>
          <t>低點月份</t>
        </is>
      </c>
      <c r="E4" s="3" t="inlineStr">
        <is>
          <t>低點後12個月</t>
        </is>
      </c>
      <c r="F4" s="3" t="inlineStr">
        <is>
          <t>總統</t>
        </is>
      </c>
      <c r="G4" s="3" t="inlineStr">
        <is>
          <t>週期意義</t>
        </is>
      </c>
    </row>
    <row r="5" ht="22" customHeight="1">
      <c r="A5" s="13" t="n">
        <v>1962</v>
      </c>
      <c r="B5" s="4" t="inlineStr">
        <is>
          <t>古巴導彈危機 + 甘迺迪打壓鋼價</t>
        </is>
      </c>
      <c r="C5" s="22" t="n">
        <v>-0.27</v>
      </c>
      <c r="D5" s="13" t="inlineStr">
        <is>
          <t>1962-06</t>
        </is>
      </c>
      <c r="E5" s="22" t="n">
        <v>0.33</v>
      </c>
      <c r="F5" s="13" t="inlineStr">
        <is>
          <t>甘迺迪</t>
        </is>
      </c>
      <c r="G5" s="4" t="inlineStr">
        <is>
          <t>危機解除即為底部</t>
        </is>
      </c>
    </row>
    <row r="6" ht="22" customHeight="1">
      <c r="A6" s="15" t="n">
        <v>1966</v>
      </c>
      <c r="B6" s="6" t="inlineStr">
        <is>
          <t>越戰升級 + 信貸緊縮 (credit crunch)</t>
        </is>
      </c>
      <c r="C6" s="23" t="n">
        <v>-0.22</v>
      </c>
      <c r="D6" s="15" t="inlineStr">
        <is>
          <t>1966-10</t>
        </is>
      </c>
      <c r="E6" s="23" t="n">
        <v>0.33</v>
      </c>
      <c r="F6" s="15" t="inlineStr">
        <is>
          <t>詹森</t>
        </is>
      </c>
      <c r="G6" s="6" t="inlineStr">
        <is>
          <t>緊縮見頂＝股市見底</t>
        </is>
      </c>
    </row>
    <row r="7" ht="22" customHeight="1">
      <c r="A7" s="13" t="n">
        <v>1970</v>
      </c>
      <c r="B7" s="4" t="inlineStr">
        <is>
          <t>越戰 + Penn Central 破產</t>
        </is>
      </c>
      <c r="C7" s="22" t="n">
        <v>-0.26</v>
      </c>
      <c r="D7" s="13" t="inlineStr">
        <is>
          <t>1970-05</t>
        </is>
      </c>
      <c r="E7" s="22" t="n">
        <v>0.44</v>
      </c>
      <c r="F7" s="13" t="inlineStr">
        <is>
          <t>尼克遜</t>
        </is>
      </c>
      <c r="G7" s="4" t="inlineStr">
        <is>
          <t>流動性危機出清</t>
        </is>
      </c>
    </row>
    <row r="8" ht="22" customHeight="1">
      <c r="A8" s="15" t="n">
        <v>1974</v>
      </c>
      <c r="B8" s="6" t="inlineStr">
        <is>
          <t>石油禁運 + 水門事件 + 通脹</t>
        </is>
      </c>
      <c r="C8" s="23" t="n">
        <v>-0.37</v>
      </c>
      <c r="D8" s="15" t="inlineStr">
        <is>
          <t>1974-10</t>
        </is>
      </c>
      <c r="E8" s="23" t="n">
        <v>0.38</v>
      </c>
      <c r="F8" s="15" t="inlineStr">
        <is>
          <t>尼克遜/福特</t>
        </is>
      </c>
      <c r="G8" s="6" t="inlineStr">
        <is>
          <t>★ 最接近今日的結構對標</t>
        </is>
      </c>
    </row>
    <row r="9" ht="22" customHeight="1">
      <c r="A9" s="13" t="n">
        <v>1978</v>
      </c>
      <c r="B9" s="4" t="inlineStr">
        <is>
          <t>通脹重臨 + 美元危機</t>
        </is>
      </c>
      <c r="C9" s="22" t="n">
        <v>-0.14</v>
      </c>
      <c r="D9" s="13" t="inlineStr">
        <is>
          <t>1978-03</t>
        </is>
      </c>
      <c r="E9" s="22" t="n">
        <v>0.13</v>
      </c>
      <c r="F9" s="13" t="inlineStr">
        <is>
          <t>卡特</t>
        </is>
      </c>
      <c r="G9" s="4" t="inlineStr">
        <is>
          <t>弱勢反彈</t>
        </is>
      </c>
    </row>
    <row r="10" ht="22" customHeight="1">
      <c r="A10" s="15" t="n">
        <v>1982</v>
      </c>
      <c r="B10" s="6" t="inlineStr">
        <is>
          <t>Volcker 高息 + 衰退</t>
        </is>
      </c>
      <c r="C10" s="23" t="n">
        <v>-0.19</v>
      </c>
      <c r="D10" s="15" t="inlineStr">
        <is>
          <t>1982-08</t>
        </is>
      </c>
      <c r="E10" s="23" t="n">
        <v>0.58</v>
      </c>
      <c r="F10" s="15" t="inlineStr">
        <is>
          <t>列根</t>
        </is>
      </c>
      <c r="G10" s="6" t="inlineStr">
        <is>
          <t>政策轉向＝世紀大牛起點</t>
        </is>
      </c>
    </row>
    <row r="11" ht="22" customHeight="1">
      <c r="A11" s="13" t="n">
        <v>1986</v>
      </c>
      <c r="B11" s="4" t="inlineStr">
        <is>
          <t>油價崩跌 + 減稅法案</t>
        </is>
      </c>
      <c r="C11" s="22" t="n">
        <v>-0.09</v>
      </c>
      <c r="D11" s="13" t="inlineStr">
        <is>
          <t>1986-09</t>
        </is>
      </c>
      <c r="E11" s="22" t="n">
        <v>0.35</v>
      </c>
      <c r="F11" s="13" t="inlineStr">
        <is>
          <t>列根</t>
        </is>
      </c>
      <c r="G11" s="4" t="inlineStr">
        <is>
          <t>牛市延續</t>
        </is>
      </c>
    </row>
    <row r="12" ht="22" customHeight="1">
      <c r="A12" s="15" t="n">
        <v>1990</v>
      </c>
      <c r="B12" s="6" t="inlineStr">
        <is>
          <t>伊拉克入侵科威特 + 油價翻倍 + 衰退</t>
        </is>
      </c>
      <c r="C12" s="23" t="n">
        <v>-0.2</v>
      </c>
      <c r="D12" s="15" t="inlineStr">
        <is>
          <t>1990-10</t>
        </is>
      </c>
      <c r="E12" s="23" t="n">
        <v>0.29</v>
      </c>
      <c r="F12" s="15" t="inlineStr">
        <is>
          <t>老布殊</t>
        </is>
      </c>
      <c r="G12" s="6" t="inlineStr">
        <is>
          <t>★ 開戰日即為底部</t>
        </is>
      </c>
    </row>
    <row r="13" ht="22" customHeight="1">
      <c r="A13" s="13" t="n">
        <v>1994</v>
      </c>
      <c r="B13" s="4" t="inlineStr">
        <is>
          <t>聯儲局倍增利率 + 債市大屠殺</t>
        </is>
      </c>
      <c r="C13" s="22" t="n">
        <v>-0.09</v>
      </c>
      <c r="D13" s="13" t="inlineStr">
        <is>
          <t>1994-12</t>
        </is>
      </c>
      <c r="E13" s="22" t="n">
        <v>0.34</v>
      </c>
      <c r="F13" s="13" t="inlineStr">
        <is>
          <t>克林頓</t>
        </is>
      </c>
      <c r="G13" s="4" t="inlineStr">
        <is>
          <t>加息結束＝底部</t>
        </is>
      </c>
    </row>
    <row r="14" ht="22" customHeight="1">
      <c r="A14" s="15" t="n">
        <v>1998</v>
      </c>
      <c r="B14" s="6" t="inlineStr">
        <is>
          <t>亞洲金融風暴 + LTCM + 俄羅斯違約</t>
        </is>
      </c>
      <c r="C14" s="23" t="n">
        <v>-0.19</v>
      </c>
      <c r="D14" s="15" t="inlineStr">
        <is>
          <t>1998-10</t>
        </is>
      </c>
      <c r="E14" s="23" t="n">
        <v>0.24</v>
      </c>
      <c r="F14" s="15" t="inlineStr">
        <is>
          <t>克林頓</t>
        </is>
      </c>
      <c r="G14" s="6" t="inlineStr">
        <is>
          <t>保險式減息救市</t>
        </is>
      </c>
    </row>
    <row r="15" ht="22" customHeight="1">
      <c r="A15" s="13" t="n">
        <v>2002</v>
      </c>
      <c r="B15" s="4" t="inlineStr">
        <is>
          <t>科網爆破尾聲 + 企業會計醜聞</t>
        </is>
      </c>
      <c r="C15" s="22" t="n">
        <v>-0.34</v>
      </c>
      <c r="D15" s="13" t="inlineStr">
        <is>
          <t>2002-10</t>
        </is>
      </c>
      <c r="E15" s="22" t="n">
        <v>0.34</v>
      </c>
      <c r="F15" s="13" t="inlineStr">
        <is>
          <t>小布殊</t>
        </is>
      </c>
      <c r="G15" s="4" t="inlineStr">
        <is>
          <t>泡沫出清完成</t>
        </is>
      </c>
    </row>
    <row r="16" ht="22" customHeight="1">
      <c r="A16" s="15" t="n">
        <v>2006</v>
      </c>
      <c r="B16" s="6" t="inlineStr">
        <is>
          <t>樓市見頂前的最後一年</t>
        </is>
      </c>
      <c r="C16" s="23" t="n">
        <v>-0.08</v>
      </c>
      <c r="D16" s="15" t="inlineStr">
        <is>
          <t>2006-06</t>
        </is>
      </c>
      <c r="E16" s="23" t="n">
        <v>0.18</v>
      </c>
      <c r="F16" s="15" t="inlineStr">
        <is>
          <t>小布殊</t>
        </is>
      </c>
      <c r="G16" s="6" t="inlineStr">
        <is>
          <t>假象平靜</t>
        </is>
      </c>
    </row>
    <row r="17" ht="22" customHeight="1">
      <c r="A17" s="13" t="n">
        <v>2010</v>
      </c>
      <c r="B17" s="4" t="inlineStr">
        <is>
          <t>歐債危機 + 閃電崩盤 + QE2</t>
        </is>
      </c>
      <c r="C17" s="22" t="n">
        <v>-0.16</v>
      </c>
      <c r="D17" s="13" t="inlineStr">
        <is>
          <t>2010-07</t>
        </is>
      </c>
      <c r="E17" s="22" t="n">
        <v>0.26</v>
      </c>
      <c r="F17" s="13" t="inlineStr">
        <is>
          <t>奧巴馬</t>
        </is>
      </c>
      <c r="G17" s="4" t="inlineStr">
        <is>
          <t>QE2 宣示即底部</t>
        </is>
      </c>
    </row>
    <row r="18" ht="22" customHeight="1">
      <c r="A18" s="15" t="n">
        <v>2014</v>
      </c>
      <c r="B18" s="6" t="inlineStr">
        <is>
          <t>油價崩跌 + QE 結束</t>
        </is>
      </c>
      <c r="C18" s="23" t="n">
        <v>-0.07000000000000001</v>
      </c>
      <c r="D18" s="15" t="inlineStr">
        <is>
          <t>2014-10</t>
        </is>
      </c>
      <c r="E18" s="23" t="n">
        <v>0.05</v>
      </c>
      <c r="F18" s="15" t="inlineStr">
        <is>
          <t>奧巴馬</t>
        </is>
      </c>
      <c r="G18" s="6" t="inlineStr">
        <is>
          <t>淺回調</t>
        </is>
      </c>
    </row>
    <row r="19" ht="22" customHeight="1">
      <c r="A19" s="13" t="n">
        <v>2018</v>
      </c>
      <c r="B19" s="4" t="inlineStr">
        <is>
          <t>貿易戰 + 縮表過度</t>
        </is>
      </c>
      <c r="C19" s="22" t="n">
        <v>-0.2</v>
      </c>
      <c r="D19" s="13" t="inlineStr">
        <is>
          <t>2018-12</t>
        </is>
      </c>
      <c r="E19" s="22" t="n">
        <v>0.29</v>
      </c>
      <c r="F19" s="13" t="inlineStr">
        <is>
          <t>特朗普</t>
        </is>
      </c>
      <c r="G19" s="4" t="inlineStr">
        <is>
          <t>聯儲局轉鴿即底部</t>
        </is>
      </c>
    </row>
    <row r="20" ht="22" customHeight="1">
      <c r="A20" s="15" t="n">
        <v>2022</v>
      </c>
      <c r="B20" s="6" t="inlineStr">
        <is>
          <t>烏克蘭戰爭 + 通脹9.1% + 最快加息</t>
        </is>
      </c>
      <c r="C20" s="23" t="n">
        <v>-0.25</v>
      </c>
      <c r="D20" s="15" t="inlineStr">
        <is>
          <t>2022-10</t>
        </is>
      </c>
      <c r="E20" s="23" t="n">
        <v>0.22</v>
      </c>
      <c r="F20" s="15" t="inlineStr">
        <is>
          <t>拜登</t>
        </is>
      </c>
      <c r="G20" s="6" t="inlineStr">
        <is>
          <t>★ 通脹見頂＝股市見底</t>
        </is>
      </c>
    </row>
    <row r="21" ht="22" customHeight="1">
      <c r="A21" s="17" t="n">
        <v>2026</v>
      </c>
      <c r="B21" s="19" t="inlineStr">
        <is>
          <t>伊朗戰爭 + 荷姆茲封鎖 + 油價 +47% + 聯儲局轉鷹</t>
        </is>
      </c>
      <c r="C21" s="24" t="n"/>
      <c r="D21" s="17" t="inlineStr">
        <is>
          <t>待定</t>
        </is>
      </c>
      <c r="E21" s="24" t="n"/>
      <c r="F21" s="17" t="inlineStr">
        <is>
          <t>特朗普</t>
        </is>
      </c>
      <c r="G21" s="19" t="inlineStr">
        <is>
          <t>★ 現在位置：低點尚未確認</t>
        </is>
      </c>
    </row>
    <row r="22"/>
    <row r="23" ht="24" customHeight="1">
      <c r="A23" s="20" t="inlineStr">
        <is>
          <t>統計事實（1962–2022，16 個期中選舉年）</t>
        </is>
      </c>
    </row>
    <row r="24" ht="30" customHeight="1">
      <c r="A24" s="3" t="inlineStr">
        <is>
          <t>統計項目</t>
        </is>
      </c>
      <c r="B24" s="3" t="inlineStr">
        <is>
          <t>數值</t>
        </is>
      </c>
      <c r="C24" s="3" t="inlineStr">
        <is>
          <t>含意</t>
        </is>
      </c>
    </row>
    <row r="25">
      <c r="A25" s="25" t="inlineStr">
        <is>
          <t>期中年平均最大回撤</t>
        </is>
      </c>
      <c r="B25" s="26" t="inlineStr">
        <is>
          <t>-19.5%</t>
        </is>
      </c>
      <c r="C25" s="27" t="inlineStr">
        <is>
          <t>四年週期中最深的一年</t>
        </is>
      </c>
      <c r="D25" s="10" t="n"/>
      <c r="E25" s="10" t="n"/>
      <c r="F25" s="10" t="n"/>
      <c r="G25" s="11" t="n"/>
    </row>
    <row r="26">
      <c r="A26" s="25" t="inlineStr">
        <is>
          <t>低點後 12 個月平均漲幅</t>
        </is>
      </c>
      <c r="B26" s="26" t="inlineStr">
        <is>
          <t>+29.7%</t>
        </is>
      </c>
      <c r="C26" s="27" t="inlineStr">
        <is>
          <t>四年週期中最強的一段</t>
        </is>
      </c>
      <c r="D26" s="10" t="n"/>
      <c r="E26" s="10" t="n"/>
      <c r="F26" s="10" t="n"/>
      <c r="G26" s="11" t="n"/>
    </row>
    <row r="27">
      <c r="A27" s="25" t="inlineStr">
        <is>
          <t>低點出現在 Q3–Q4 的比例</t>
        </is>
      </c>
      <c r="B27" s="26" t="inlineStr">
        <is>
          <t>11 / 16 = 69%</t>
        </is>
      </c>
      <c r="C27" s="27" t="inlineStr">
        <is>
          <t>9–12 月是築底的高機率窗口</t>
        </is>
      </c>
      <c r="D27" s="10" t="n"/>
      <c r="E27" s="10" t="n"/>
      <c r="F27" s="10" t="n"/>
      <c r="G27" s="11" t="n"/>
    </row>
    <row r="28">
      <c r="A28" s="25" t="inlineStr">
        <is>
          <t>1950 年以來期中選舉後 12 個月上漲比例</t>
        </is>
      </c>
      <c r="B28" s="26" t="inlineStr">
        <is>
          <t>100%</t>
        </is>
      </c>
      <c r="C28" s="27" t="inlineStr">
        <is>
          <t>無一例外（樣本 19 次）</t>
        </is>
      </c>
      <c r="D28" s="10" t="n"/>
      <c r="E28" s="10" t="n"/>
      <c r="F28" s="10" t="n"/>
      <c r="G28" s="11" t="n"/>
    </row>
    <row r="29">
      <c r="A29" s="25" t="inlineStr">
        <is>
          <t>四年週期各年平均報酬（標普，1950–）</t>
        </is>
      </c>
      <c r="B29" s="26" t="inlineStr">
        <is>
          <t>Y1 +6.7% / Y2 +3.3% / Y3 +16.8% / Y4 +6.6%</t>
        </is>
      </c>
      <c r="C29" s="27" t="inlineStr">
        <is>
          <t>第3年（2027）為最強</t>
        </is>
      </c>
      <c r="D29" s="10" t="n"/>
      <c r="E29" s="10" t="n"/>
      <c r="F29" s="10" t="n"/>
      <c r="G29" s="11" t="n"/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 ht="24" customHeight="1">
      <c r="A52" s="20" t="inlineStr">
        <is>
          <t>階段判讀</t>
        </is>
      </c>
    </row>
    <row r="53" ht="74" customHeight="1">
      <c r="A53" s="21" t="inlineStr">
        <is>
          <t>現在位置：特朗普第二任期第 2 年、期中選舉年的 9 月——正是歷史上回撤最深、但也最接近轉折的位置。
支持度由就任時 50%+ 跌至高 30%，眾議院預期易手、參議院 50-50，分裂政府機率高。
分裂政府對市場的歷史含意：重大立法停擺（中性偏正面，政策不確定性下降），但債限與撥款攻防（10–12 月）會製造事件性波動。
交易含意：11/3 之前偏防守、之後偏進攻。歷史上『期中選舉日』本身就是一個高勝率的做多起點。</t>
        </is>
      </c>
    </row>
  </sheetData>
  <mergeCells count="10">
    <mergeCell ref="C29:G29"/>
    <mergeCell ref="A1:G1"/>
    <mergeCell ref="A53:G53"/>
    <mergeCell ref="C25:G25"/>
    <mergeCell ref="C28:G28"/>
    <mergeCell ref="C27:G27"/>
    <mergeCell ref="A2:G2"/>
    <mergeCell ref="A52:G52"/>
    <mergeCell ref="C26:G26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30" customWidth="1" min="5" max="5"/>
    <col width="14" customWidth="1" min="6" max="6"/>
    <col width="40" customWidth="1" min="7" max="7"/>
  </cols>
  <sheetData>
    <row r="1" ht="24" customHeight="1">
      <c r="A1" s="12" t="inlineStr">
        <is>
          <t>③ 技術革命（產業）週期：萌芽 → 加速 → 狂熱 → 崩潰 → 實用化</t>
        </is>
      </c>
    </row>
    <row r="2">
      <c r="A2" s="2" t="inlineStr">
        <is>
          <t>每一次技術革命的股市週期都遵循同一結構；差別只在時間長度與槓桿程度。崩潰幅度為該革命核心指數的高至低跌幅。</t>
        </is>
      </c>
    </row>
    <row r="3"/>
    <row r="4" ht="30" customHeight="1">
      <c r="A4" s="3" t="inlineStr">
        <is>
          <t>技術革命</t>
        </is>
      </c>
      <c r="B4" s="3" t="inlineStr">
        <is>
          <t>萌芽</t>
        </is>
      </c>
      <c r="C4" s="3" t="inlineStr">
        <is>
          <t>加速</t>
        </is>
      </c>
      <c r="D4" s="3" t="inlineStr">
        <is>
          <t>狂熱見頂</t>
        </is>
      </c>
      <c r="E4" s="3" t="inlineStr">
        <is>
          <t>見頂的觸發事件</t>
        </is>
      </c>
      <c r="F4" s="3" t="inlineStr">
        <is>
          <t>核心指數崩幅</t>
        </is>
      </c>
      <c r="G4" s="3" t="inlineStr">
        <is>
          <t>實用化/重建期特徵</t>
        </is>
      </c>
    </row>
    <row r="5" ht="26" customHeight="1">
      <c r="A5" s="13" t="inlineStr">
        <is>
          <t>鐵路（英國）</t>
        </is>
      </c>
      <c r="B5" s="13" t="n">
        <v>1830</v>
      </c>
      <c r="C5" s="13" t="n">
        <v>1843</v>
      </c>
      <c r="D5" s="13" t="n">
        <v>1846</v>
      </c>
      <c r="E5" s="4" t="inlineStr">
        <is>
          <t>1846 國會批出過量路線 + 資金鏈斷裂</t>
        </is>
      </c>
      <c r="F5" s="13" t="inlineStr">
        <is>
          <t>-65%</t>
        </is>
      </c>
      <c r="G5" s="4" t="inlineStr">
        <is>
          <t>1850s 鐵路實際運量爆發，但股東血本無歸</t>
        </is>
      </c>
    </row>
    <row r="6" ht="26" customHeight="1">
      <c r="A6" s="15" t="inlineStr">
        <is>
          <t>電力/汽車/無線電</t>
        </is>
      </c>
      <c r="B6" s="15" t="n">
        <v>1900</v>
      </c>
      <c r="C6" s="15" t="n">
        <v>1922</v>
      </c>
      <c r="D6" s="15" t="n">
        <v>1929</v>
      </c>
      <c r="E6" s="6" t="inlineStr">
        <is>
          <t>1929-09 聯儲局收緊保證金 + 信貸緊縮</t>
        </is>
      </c>
      <c r="F6" s="15" t="inlineStr">
        <is>
          <t>-89%</t>
        </is>
      </c>
      <c r="G6" s="6" t="inlineStr">
        <is>
          <t>1930s–50s 技術普及但資本市場停滯 25 年</t>
        </is>
      </c>
    </row>
    <row r="7" ht="26" customHeight="1">
      <c r="A7" s="13" t="inlineStr">
        <is>
          <t>電子/Nifty Fifty</t>
        </is>
      </c>
      <c r="B7" s="13" t="n">
        <v>1955</v>
      </c>
      <c r="C7" s="13" t="n">
        <v>1965</v>
      </c>
      <c r="D7" s="13" t="n">
        <v>1972</v>
      </c>
      <c r="E7" s="4" t="inlineStr">
        <is>
          <t>1973 石油禁運 + 估值 50 倍崩解</t>
        </is>
      </c>
      <c r="F7" s="13" t="inlineStr">
        <is>
          <t>-45%</t>
        </is>
      </c>
      <c r="G7" s="4" t="inlineStr">
        <is>
          <t>1970s 半導體實際落地，估值重設</t>
        </is>
      </c>
    </row>
    <row r="8" ht="26" customHeight="1">
      <c r="A8" s="15" t="inlineStr">
        <is>
          <t>個人電腦</t>
        </is>
      </c>
      <c r="B8" s="15" t="n">
        <v>1975</v>
      </c>
      <c r="C8" s="15" t="n">
        <v>1982</v>
      </c>
      <c r="D8" s="15" t="n">
        <v>1987</v>
      </c>
      <c r="E8" s="6" t="inlineStr">
        <is>
          <t>1987-10 程式交易 + 估值過高</t>
        </is>
      </c>
      <c r="F8" s="15" t="inlineStr">
        <is>
          <t>-33%</t>
        </is>
      </c>
      <c r="G8" s="6" t="inlineStr">
        <is>
          <t>1990s PC 真正普及，微軟/英特爾主導</t>
        </is>
      </c>
    </row>
    <row r="9" ht="26" customHeight="1">
      <c r="A9" s="13" t="inlineStr">
        <is>
          <t>互聯網/電訊</t>
        </is>
      </c>
      <c r="B9" s="13" t="n">
        <v>1994</v>
      </c>
      <c r="C9" s="13" t="n">
        <v>1997</v>
      </c>
      <c r="D9" s="13" t="n">
        <v>2000</v>
      </c>
      <c r="E9" s="4" t="inlineStr">
        <is>
          <t>2000-03 聯儲局加至 6.5% + 供應商融資爆煲</t>
        </is>
      </c>
      <c r="F9" s="13" t="inlineStr">
        <is>
          <t>-78%(納指)</t>
        </is>
      </c>
      <c r="G9" s="4" t="inlineStr">
        <is>
          <t>2003–07 寬頻普及，Google/Amazon 勝出</t>
        </is>
      </c>
    </row>
    <row r="10" ht="26" customHeight="1">
      <c r="A10" s="15" t="inlineStr">
        <is>
          <t>移動/雲端</t>
        </is>
      </c>
      <c r="B10" s="15" t="n">
        <v>2007</v>
      </c>
      <c r="C10" s="15" t="n">
        <v>2013</v>
      </c>
      <c r="D10" s="15" t="n">
        <v>2021</v>
      </c>
      <c r="E10" s="6" t="inlineStr">
        <is>
          <t>2021-11 通脹爆發 + 零息結束</t>
        </is>
      </c>
      <c r="F10" s="15" t="inlineStr">
        <is>
          <t>-36%(納指)</t>
        </is>
      </c>
      <c r="G10" s="6" t="inlineStr">
        <is>
          <t>2022– SaaS 由成長轉現金流估值</t>
        </is>
      </c>
    </row>
    <row r="11" ht="26" customHeight="1">
      <c r="A11" s="17" t="inlineStr">
        <is>
          <t>人工智能</t>
        </is>
      </c>
      <c r="B11" s="17" t="n">
        <v>2023</v>
      </c>
      <c r="C11" s="17" t="n">
        <v>2025</v>
      </c>
      <c r="D11" s="17" t="n"/>
      <c r="E11" s="19" t="inlineStr">
        <is>
          <t>★ 尚未出現（見下方見頂訊號清單）</t>
        </is>
      </c>
      <c r="F11" s="17" t="inlineStr">
        <is>
          <t>—</t>
        </is>
      </c>
      <c r="G11" s="19" t="inlineStr">
        <is>
          <t>—</t>
        </is>
      </c>
    </row>
    <row r="12"/>
    <row r="13" ht="24" customHeight="1">
      <c r="A13" s="20" t="inlineStr">
        <is>
          <t>本輪 AI 週期的硬數據（資本開支是這輪革命的心跳）</t>
        </is>
      </c>
    </row>
    <row r="14" ht="30" customHeight="1">
      <c r="A14" s="3" t="inlineStr">
        <is>
          <t>年份</t>
        </is>
      </c>
      <c r="B14" s="3" t="inlineStr">
        <is>
          <t>五大雲廠 AI 資本開支 (十億美元)</t>
        </is>
      </c>
      <c r="C14" s="3" t="inlineStr">
        <is>
          <t>按年增幅</t>
        </is>
      </c>
      <c r="D14" s="3" t="inlineStr">
        <is>
          <t>階段標記</t>
        </is>
      </c>
      <c r="E14" s="3" t="inlineStr"/>
      <c r="F14" s="3" t="inlineStr"/>
      <c r="G14" s="3" t="inlineStr"/>
    </row>
    <row r="15">
      <c r="A15" s="28" t="n">
        <v>2023</v>
      </c>
      <c r="B15" s="28" t="n">
        <v>150</v>
      </c>
      <c r="C15" s="29" t="n"/>
      <c r="D15" s="28" t="inlineStr">
        <is>
          <t>萌芽：ChatGPT 引爆需求</t>
        </is>
      </c>
    </row>
    <row r="16">
      <c r="A16" s="28" t="n">
        <v>2024</v>
      </c>
      <c r="B16" s="28" t="n">
        <v>238</v>
      </c>
      <c r="C16" s="29" t="n">
        <v>0.587</v>
      </c>
      <c r="D16" s="28" t="inlineStr">
        <is>
          <t>加速：GPU 供不應求</t>
        </is>
      </c>
    </row>
    <row r="17">
      <c r="A17" s="28" t="n">
        <v>2025</v>
      </c>
      <c r="B17" s="28" t="n">
        <v>410</v>
      </c>
      <c r="C17" s="29" t="n">
        <v>0.723</v>
      </c>
      <c r="D17" s="28" t="inlineStr">
        <is>
          <t>加速：資料中心大規模動工</t>
        </is>
      </c>
    </row>
    <row r="18">
      <c r="A18" s="28" t="n">
        <v>2026</v>
      </c>
      <c r="B18" s="28" t="n">
        <v>788</v>
      </c>
      <c r="C18" s="29" t="n">
        <v>0.922</v>
      </c>
      <c r="D18" s="28" t="inlineStr">
        <is>
          <t>★ 高潮：增速仍在上升 = 未見頂</t>
        </is>
      </c>
    </row>
    <row r="19">
      <c r="A19" s="28" t="n">
        <v>2027</v>
      </c>
      <c r="B19" s="28" t="n">
        <v>1000</v>
      </c>
      <c r="C19" s="29" t="n">
        <v>0.269</v>
      </c>
      <c r="D19" s="28" t="inlineStr">
        <is>
          <t>預估：增速首次大幅放緩 ← 關鍵觀察點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 ht="24" customHeight="1">
      <c r="A41" s="20" t="inlineStr">
        <is>
          <t>AI 週期見頂訊號清單（逐項打勾，越多越接近 2000-03）</t>
        </is>
      </c>
    </row>
    <row r="42" ht="30" customHeight="1">
      <c r="A42" s="3" t="inlineStr">
        <is>
          <t>訊號</t>
        </is>
      </c>
      <c r="B42" s="3" t="inlineStr">
        <is>
          <t>歷史對照</t>
        </is>
      </c>
      <c r="C42" s="3" t="inlineStr">
        <is>
          <t>現況</t>
        </is>
      </c>
      <c r="D42" s="3" t="inlineStr"/>
      <c r="E42" s="3" t="inlineStr"/>
      <c r="F42" s="3" t="inlineStr"/>
      <c r="G42" s="3" t="inlineStr"/>
    </row>
    <row r="43" ht="26" customHeight="1">
      <c r="A43" s="9" t="inlineStr">
        <is>
          <t>① 首家超大型雲廠下修 capex 指引</t>
        </is>
      </c>
      <c r="B43" s="4" t="inlineStr">
        <is>
          <t>2000-Q4 電訊商集體削減資本開支</t>
        </is>
      </c>
      <c r="C43" s="10" t="n"/>
      <c r="D43" s="11" t="n"/>
      <c r="E43" s="4" t="inlineStr">
        <is>
          <t>未出現</t>
        </is>
      </c>
      <c r="F43" s="10" t="n"/>
      <c r="G43" s="11" t="n"/>
    </row>
    <row r="44" ht="26" customHeight="1">
      <c r="A44" s="9" t="inlineStr">
        <is>
          <t>② 資本開支由現金轉為債務融資</t>
        </is>
      </c>
      <c r="B44" s="4" t="inlineStr">
        <is>
          <t>1999 供應商融資（Lucent/Nortel）</t>
        </is>
      </c>
      <c r="C44" s="10" t="n"/>
      <c r="D44" s="11" t="n"/>
      <c r="E44" s="4" t="inlineStr">
        <is>
          <t>已部分出現：AI 資料中心發債激增</t>
        </is>
      </c>
      <c r="F44" s="10" t="n"/>
      <c r="G44" s="11" t="n"/>
    </row>
    <row r="45" ht="26" customHeight="1">
      <c r="A45" s="9" t="inlineStr">
        <is>
          <t>③ 折舊年限被拉長以美化盈利</t>
        </is>
      </c>
      <c r="B45" s="4" t="inlineStr">
        <is>
          <t>2000 電訊業拉長折舊</t>
        </is>
      </c>
      <c r="C45" s="10" t="n"/>
      <c r="D45" s="11" t="n"/>
      <c r="E45" s="4" t="inlineStr">
        <is>
          <t>已出現爭議：GPU 折舊 3 年 vs 6 年</t>
        </is>
      </c>
      <c r="F45" s="10" t="n"/>
      <c r="G45" s="11" t="n"/>
    </row>
    <row r="46" ht="26" customHeight="1">
      <c r="A46" s="9" t="inlineStr">
        <is>
          <t>④ 龍頭股市值佔指數比重見頂回落</t>
        </is>
      </c>
      <c r="B46" s="4" t="inlineStr">
        <is>
          <t>2000-03 思科成為全球最大市值後見頂</t>
        </is>
      </c>
      <c r="C46" s="10" t="n"/>
      <c r="D46" s="11" t="n"/>
      <c r="E46" s="41" t="inlineStr">
        <is>
          <t>未出現：NVDA 4.3 萬億美元仍在高位</t>
        </is>
      </c>
      <c r="F46" s="10" t="n"/>
      <c r="G46" s="11" t="n"/>
    </row>
    <row r="47" ht="26" customHeight="1">
      <c r="A47" s="9" t="inlineStr">
        <is>
          <t>⑤ AI 相關信用利差擴闊</t>
        </is>
      </c>
      <c r="B47" s="4" t="inlineStr">
        <is>
          <t>1999-Q4 高收益電訊債利差先行擴闊</t>
        </is>
      </c>
      <c r="C47" s="10" t="n"/>
      <c r="D47" s="11" t="n"/>
      <c r="E47" s="4" t="inlineStr">
        <is>
          <t>需密切監察（本輪最靈敏的領先指標）</t>
        </is>
      </c>
      <c r="F47" s="10" t="n"/>
      <c r="G47" s="11" t="n"/>
    </row>
    <row r="48" ht="26" customHeight="1">
      <c r="A48" s="9" t="inlineStr">
        <is>
          <t>⑥ 終端需求貨幣化不及預期</t>
        </is>
      </c>
      <c r="B48" s="4" t="inlineStr">
        <is>
          <t>2000 網絡流量增速不及預測</t>
        </is>
      </c>
      <c r="C48" s="10" t="n"/>
      <c r="D48" s="11" t="n"/>
      <c r="E48" s="4" t="inlineStr">
        <is>
          <t>混合訊號：應用增長強但 ROIC 未證實</t>
        </is>
      </c>
      <c r="F48" s="10" t="n"/>
      <c r="G48" s="11" t="n"/>
    </row>
    <row r="49"/>
    <row r="50" ht="24" customHeight="1">
      <c r="A50" s="20" t="inlineStr">
        <is>
          <t>階段判讀</t>
        </is>
      </c>
    </row>
    <row r="51" ht="76" customHeight="1">
      <c r="A51" s="21" t="inlineStr">
        <is>
          <t>現在位置：對標互聯網週期的 1998–1999，而非 2000 年 3 月。理由：資本開支的『增速』仍在上升（2026 +92% 按年），而歷史上見頂永遠發生在增速轉負之後，不是絕對值高的時候。
但風險在於：1999 年的聯儲局也是在加息（4.75%→6.5%），最終正是利率壓垮了估值。若 Warsh 真的加息，AI 這根唯一的支撐柱會同時面對『折現率上升』與『融資成本上升』雙重壓力。
最靈敏的領先指標：AI 資料中心相關高收益債利差。它在 1999 年比納指提早約 4 個月轉向。</t>
        </is>
      </c>
    </row>
  </sheetData>
  <mergeCells count="18">
    <mergeCell ref="A13:G13"/>
    <mergeCell ref="E46:G46"/>
    <mergeCell ref="A1:G1"/>
    <mergeCell ref="E44:G44"/>
    <mergeCell ref="B45:D45"/>
    <mergeCell ref="B46:D46"/>
    <mergeCell ref="E45:G45"/>
    <mergeCell ref="A50:G50"/>
    <mergeCell ref="E47:G47"/>
    <mergeCell ref="E48:G48"/>
    <mergeCell ref="A2:G2"/>
    <mergeCell ref="E43:G43"/>
    <mergeCell ref="B44:D44"/>
    <mergeCell ref="B43:D43"/>
    <mergeCell ref="A41:G41"/>
    <mergeCell ref="A51:G51"/>
    <mergeCell ref="B47:D47"/>
    <mergeCell ref="B48:D48"/>
  </mergeCells>
  <hyperlinks>
    <hyperlink xmlns:r="http://schemas.openxmlformats.org/officeDocument/2006/relationships" ref="E46" r:id="rId1"/>
  </hyperlinks>
  <pageMargins left="0.75" right="0.75" top="1" bottom="1" header="0.5" footer="0.5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4" customWidth="1" min="4" max="4"/>
    <col width="14" customWidth="1" min="5" max="5"/>
    <col width="14" customWidth="1" min="6" max="6"/>
    <col width="42" customWidth="1" min="7" max="7"/>
  </cols>
  <sheetData>
    <row r="1" ht="24" customHeight="1">
      <c r="A1" s="12" t="inlineStr">
        <is>
          <t>④ 黑天鵝（地緣事件 / 戰爭）週期：油震與戰爭的股市型態  1973–2026</t>
        </is>
      </c>
    </row>
    <row r="2">
      <c r="A2" s="2" t="inlineStr">
        <is>
          <t>關鍵規律：地緣事件的股市底部，通常出現在『軍事行動確定性最高』的那一刻，而非事件解決之時。市場怕的是不確定性，不是戰爭本身。</t>
        </is>
      </c>
    </row>
    <row r="3"/>
    <row r="4" ht="30" customHeight="1">
      <c r="A4" s="3" t="inlineStr">
        <is>
          <t>事件</t>
        </is>
      </c>
      <c r="B4" s="3" t="inlineStr">
        <is>
          <t>起始</t>
        </is>
      </c>
      <c r="C4" s="3" t="inlineStr">
        <is>
          <t>油價變動</t>
        </is>
      </c>
      <c r="D4" s="3" t="inlineStr">
        <is>
          <t>標普最大跌幅</t>
        </is>
      </c>
      <c r="E4" s="3" t="inlineStr">
        <is>
          <t>見底時點</t>
        </is>
      </c>
      <c r="F4" s="3" t="inlineStr">
        <is>
          <t>見底至事件起始</t>
        </is>
      </c>
      <c r="G4" s="3" t="inlineStr">
        <is>
          <t>週期完結的訊號</t>
        </is>
      </c>
    </row>
    <row r="5" ht="26" customHeight="1">
      <c r="A5" s="4" t="inlineStr">
        <is>
          <t>1973 阿拉伯石油禁運</t>
        </is>
      </c>
      <c r="B5" s="13" t="inlineStr">
        <is>
          <t>1973-10</t>
        </is>
      </c>
      <c r="C5" s="13" t="inlineStr">
        <is>
          <t>$3 → $12 (+300%)</t>
        </is>
      </c>
      <c r="D5" s="22" t="n">
        <v>-0.48</v>
      </c>
      <c r="E5" s="13" t="inlineStr">
        <is>
          <t>1974-10</t>
        </is>
      </c>
      <c r="F5" s="13" t="inlineStr">
        <is>
          <t>12 個月</t>
        </is>
      </c>
      <c r="G5" s="4" t="inlineStr">
        <is>
          <t>禁運解除 + 通脹見頂 + 聯儲局停止加息</t>
        </is>
      </c>
    </row>
    <row r="6" ht="26" customHeight="1">
      <c r="A6" s="6" t="inlineStr">
        <is>
          <t>1979 伊朗革命</t>
        </is>
      </c>
      <c r="B6" s="15" t="inlineStr">
        <is>
          <t>1979-01</t>
        </is>
      </c>
      <c r="C6" s="15" t="inlineStr">
        <is>
          <t>$14 → $39 (+179%)</t>
        </is>
      </c>
      <c r="D6" s="23" t="n">
        <v>-0.17</v>
      </c>
      <c r="E6" s="15" t="inlineStr">
        <is>
          <t>1980-03</t>
        </is>
      </c>
      <c r="F6" s="15" t="inlineStr">
        <is>
          <t>14 個月</t>
        </is>
      </c>
      <c r="G6" s="6" t="inlineStr">
        <is>
          <t>供應恢復 + Volcker 確立可信度</t>
        </is>
      </c>
    </row>
    <row r="7" ht="26" customHeight="1">
      <c r="A7" s="4" t="inlineStr">
        <is>
          <t>1980 兩伊戰爭</t>
        </is>
      </c>
      <c r="B7" s="13" t="inlineStr">
        <is>
          <t>1980-09</t>
        </is>
      </c>
      <c r="C7" s="13" t="inlineStr">
        <is>
          <t>$39 → $35 (需求破壞)</t>
        </is>
      </c>
      <c r="D7" s="22" t="n">
        <v>-0.27</v>
      </c>
      <c r="E7" s="13" t="inlineStr">
        <is>
          <t>1982-08</t>
        </is>
      </c>
      <c r="F7" s="13" t="inlineStr">
        <is>
          <t>23 個月</t>
        </is>
      </c>
      <c r="G7" s="4" t="inlineStr">
        <is>
          <t>需求破壞使油價自行崩跌</t>
        </is>
      </c>
    </row>
    <row r="8" ht="26" customHeight="1">
      <c r="A8" s="6" t="inlineStr">
        <is>
          <t>1990 伊拉克入侵科威特</t>
        </is>
      </c>
      <c r="B8" s="15" t="inlineStr">
        <is>
          <t>1990-08</t>
        </is>
      </c>
      <c r="C8" s="15" t="inlineStr">
        <is>
          <t>$17 → $41 (+141%)</t>
        </is>
      </c>
      <c r="D8" s="23" t="n">
        <v>-0.2</v>
      </c>
      <c r="E8" s="15" t="inlineStr">
        <is>
          <t>1990-10</t>
        </is>
      </c>
      <c r="F8" s="15" t="inlineStr">
        <is>
          <t>2 個月</t>
        </is>
      </c>
      <c r="G8" s="6" t="inlineStr">
        <is>
          <t>★ 空戰開打當日(1991-01-17)油價單日 -33%，股市起飛</t>
        </is>
      </c>
    </row>
    <row r="9" ht="26" customHeight="1">
      <c r="A9" s="4" t="inlineStr">
        <is>
          <t>2001 九一一事件</t>
        </is>
      </c>
      <c r="B9" s="13" t="inlineStr">
        <is>
          <t>2001-09</t>
        </is>
      </c>
      <c r="C9" s="13" t="inlineStr">
        <is>
          <t>$28 → $22 (需求崩)</t>
        </is>
      </c>
      <c r="D9" s="22" t="n">
        <v>-0.12</v>
      </c>
      <c r="E9" s="13" t="inlineStr">
        <is>
          <t>2001-09-21</t>
        </is>
      </c>
      <c r="F9" s="13" t="inlineStr">
        <is>
          <t>10 日</t>
        </is>
      </c>
      <c r="G9" s="4" t="inlineStr">
        <is>
          <t>市場重開後 19 個交易日收復失地</t>
        </is>
      </c>
    </row>
    <row r="10" ht="26" customHeight="1">
      <c r="A10" s="6" t="inlineStr">
        <is>
          <t>2003 伊拉克戰爭</t>
        </is>
      </c>
      <c r="B10" s="15" t="inlineStr">
        <is>
          <t>2003-03</t>
        </is>
      </c>
      <c r="C10" s="15" t="inlineStr">
        <is>
          <t>$37 → $25</t>
        </is>
      </c>
      <c r="D10" s="23" t="n">
        <v>-0.14</v>
      </c>
      <c r="E10" s="15" t="inlineStr">
        <is>
          <t>2003-03-11</t>
        </is>
      </c>
      <c r="F10" s="15" t="inlineStr">
        <is>
          <t>開戰前 9 日</t>
        </is>
      </c>
      <c r="G10" s="6" t="inlineStr">
        <is>
          <t>★ 開戰前見底：不確定性出清</t>
        </is>
      </c>
    </row>
    <row r="11" ht="26" customHeight="1">
      <c r="A11" s="4" t="inlineStr">
        <is>
          <t>2022 俄烏戰爭</t>
        </is>
      </c>
      <c r="B11" s="13" t="inlineStr">
        <is>
          <t>2022-02</t>
        </is>
      </c>
      <c r="C11" s="13" t="inlineStr">
        <is>
          <t>$76 → $139 (+83%)</t>
        </is>
      </c>
      <c r="D11" s="22" t="n">
        <v>-0.25</v>
      </c>
      <c r="E11" s="13" t="inlineStr">
        <is>
          <t>2022-10</t>
        </is>
      </c>
      <c r="F11" s="13" t="inlineStr">
        <is>
          <t>8 個月</t>
        </is>
      </c>
      <c r="G11" s="4" t="inlineStr">
        <is>
          <t>通脹見頂 + 歐洲避過能源斷供</t>
        </is>
      </c>
    </row>
    <row r="12" ht="26" customHeight="1">
      <c r="A12" s="19" t="inlineStr">
        <is>
          <t>2026 伊朗戰爭 / 荷姆茲</t>
        </is>
      </c>
      <c r="B12" s="17" t="inlineStr">
        <is>
          <t>2026-02-28</t>
        </is>
      </c>
      <c r="C12" s="17" t="inlineStr">
        <is>
          <t>$66 → $97 (+47% 按年)</t>
        </is>
      </c>
      <c r="D12" s="24" t="n"/>
      <c r="E12" s="17" t="inlineStr">
        <is>
          <t>待定</t>
        </is>
      </c>
      <c r="F12" s="17" t="inlineStr">
        <is>
          <t>已 6.3 個月</t>
        </is>
      </c>
      <c r="G12" s="19" t="inlineStr">
        <is>
          <t>★ 停火/伊朗石油復出，或需求破壞使 Brent &lt; $80</t>
        </is>
      </c>
    </row>
    <row r="13"/>
    <row r="14" ht="24" customHeight="1">
      <c r="A14" s="20" t="inlineStr">
        <is>
          <t>2026 伊朗戰爭 / 荷姆茲危機時序</t>
        </is>
      </c>
    </row>
    <row r="15" ht="30" customHeight="1">
      <c r="A15" s="3" t="inlineStr">
        <is>
          <t>日期</t>
        </is>
      </c>
      <c r="B15" s="3" t="inlineStr">
        <is>
          <t>事件</t>
        </is>
      </c>
      <c r="C15" s="3" t="inlineStr">
        <is>
          <t>市場反應</t>
        </is>
      </c>
      <c r="D15" s="3" t="inlineStr"/>
      <c r="E15" s="3" t="inlineStr"/>
      <c r="F15" s="3" t="inlineStr"/>
      <c r="G15" s="3" t="inlineStr"/>
    </row>
    <row r="16" ht="24" customHeight="1">
      <c r="A16" s="25" t="inlineStr">
        <is>
          <t>2026-02-28</t>
        </is>
      </c>
      <c r="B16" s="4" t="inlineStr">
        <is>
          <t>美以突襲伊朗軍事與政府目標，最高領袖哈梅內伊被刺殺</t>
        </is>
      </c>
      <c r="C16" s="10" t="n"/>
      <c r="D16" s="11" t="n"/>
      <c r="E16" s="4" t="inlineStr">
        <is>
          <t>油價跳升，風險資產急挫</t>
        </is>
      </c>
      <c r="F16" s="10" t="n"/>
      <c r="G16" s="11" t="n"/>
    </row>
    <row r="17" ht="24" customHeight="1">
      <c r="A17" s="25" t="inlineStr">
        <is>
          <t>2026-03-19</t>
        </is>
      </c>
      <c r="B17" s="4" t="inlineStr">
        <is>
          <t>伊朗封鎖荷姆茲海峽；美國展開空中戰役以重開海峽</t>
        </is>
      </c>
      <c r="C17" s="10" t="n"/>
      <c r="D17" s="11" t="n"/>
      <c r="E17" s="4" t="inlineStr">
        <is>
          <t>海峽油輪流量近乎歸零（全球 25% 海運原油）</t>
        </is>
      </c>
      <c r="F17" s="10" t="n"/>
      <c r="G17" s="11" t="n"/>
    </row>
    <row r="18" ht="24" customHeight="1">
      <c r="A18" s="25" t="inlineStr">
        <is>
          <t>2026-03-27</t>
        </is>
      </c>
      <c r="B18" s="4" t="inlineStr">
        <is>
          <t>伊朗革命衛隊宣佈禁止往來美/以及其盟友港口的船隻</t>
        </is>
      </c>
      <c r="C18" s="10" t="n"/>
      <c r="D18" s="11" t="n"/>
      <c r="E18" s="4" t="inlineStr">
        <is>
          <t>油輪運費與保費暴漲</t>
        </is>
      </c>
      <c r="F18" s="10" t="n"/>
      <c r="G18" s="11" t="n"/>
    </row>
    <row r="19" ht="24" customHeight="1">
      <c r="A19" s="25" t="inlineStr">
        <is>
          <t>2026-07-14</t>
        </is>
      </c>
      <c r="B19" s="4" t="inlineStr">
        <is>
          <t>美國重啟對伊朗的海上封鎖</t>
        </is>
      </c>
      <c r="C19" s="10" t="n"/>
      <c r="D19" s="11" t="n"/>
      <c r="E19" s="4" t="inlineStr">
        <is>
          <t>7 月中攻擊強度創 4 月以來新高</t>
        </is>
      </c>
      <c r="F19" s="10" t="n"/>
      <c r="G19" s="11" t="n"/>
    </row>
    <row r="20" ht="24" customHeight="1">
      <c r="A20" s="25" t="inlineStr">
        <is>
          <t>2026-08 下旬</t>
        </is>
      </c>
      <c r="B20" s="4" t="inlineStr">
        <is>
          <t>胡塞武裝襲擊沙特能源設施，削減其產能</t>
        </is>
      </c>
      <c r="C20" s="10" t="n"/>
      <c r="D20" s="11" t="n"/>
      <c r="E20" s="4" t="inlineStr">
        <is>
          <t>Brent 單月 +11%</t>
        </is>
      </c>
      <c r="F20" s="10" t="n"/>
      <c r="G20" s="11" t="n"/>
    </row>
    <row r="21" ht="24" customHeight="1">
      <c r="A21" s="25" t="inlineStr">
        <is>
          <t>2026-09 初</t>
        </is>
      </c>
      <c r="B21" s="4" t="inlineStr">
        <is>
          <t>美伊互擊油輪；伊朗向美軍艦發射彈道導彈</t>
        </is>
      </c>
      <c r="C21" s="10" t="n"/>
      <c r="D21" s="11" t="n"/>
      <c r="E21" s="4" t="inlineStr">
        <is>
          <t>Brent 9/3 見 $99.38，9/8 收 $97.41</t>
        </is>
      </c>
      <c r="F21" s="10" t="n"/>
      <c r="G21" s="11" t="n"/>
    </row>
    <row r="22" ht="24" customHeight="1">
      <c r="A22" s="25" t="inlineStr">
        <is>
          <t>2026-09-09</t>
        </is>
      </c>
      <c r="B22" s="4" t="inlineStr">
        <is>
          <t>★ 現在：油輪戰持續，無停火跡象</t>
        </is>
      </c>
      <c r="C22" s="10" t="n"/>
      <c r="D22" s="11" t="n"/>
      <c r="E22" s="4" t="inlineStr">
        <is>
          <t>S&amp;P 7,681 於 7,600–7,800 區間；VIX 僅 15.3</t>
        </is>
      </c>
      <c r="F22" s="10" t="n"/>
      <c r="G22" s="1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 ht="24" customHeight="1">
      <c r="A43" s="20" t="inlineStr">
        <is>
          <t>階段判讀</t>
        </is>
      </c>
    </row>
    <row r="44" ht="108" customHeight="1">
      <c r="A44" s="21" t="inlineStr">
        <is>
          <t>現在位置：事件已持續 6.3 個月，處於『持久消耗期』而非『初始衝擊期』。歷史上這一段最難交易——沒有新的壞消息，但也沒有解決方案，油價在高位橫行並持續侵蝕企業毛利與消費者購買力。
兩條出路（決定 Q4 方向）：
  (A) 供應面解決：停火、伊朗石油復出 → Brent 快速回落至 $70–80 → 頭條CPI 回落 → 聯儲局不需加息 → 股市大幅反彈（1991 型態）。
  (B) 需求破壞：油價維持 $100+ 直至經濟衰退 → 盈利下修 → 股市再跌一段後才見底（1974/1980 型態）。
分辨的關鍵指標：Brent 期貨曲線。深度逆價差(backwardation)＝實體短缺仍在；轉為正價差(contango)＝需求已被破壞，衰退在路上。</t>
        </is>
      </c>
    </row>
  </sheetData>
  <mergeCells count="19">
    <mergeCell ref="A14:G14"/>
    <mergeCell ref="E19:G19"/>
    <mergeCell ref="B17:D17"/>
    <mergeCell ref="A43:G43"/>
    <mergeCell ref="A44:G44"/>
    <mergeCell ref="B19:D19"/>
    <mergeCell ref="B20:D20"/>
    <mergeCell ref="E16:G16"/>
    <mergeCell ref="A1:G1"/>
    <mergeCell ref="E22:G22"/>
    <mergeCell ref="E18:G18"/>
    <mergeCell ref="E21:G21"/>
    <mergeCell ref="B16:D16"/>
    <mergeCell ref="B22:D22"/>
    <mergeCell ref="B18:D18"/>
    <mergeCell ref="E17:G17"/>
    <mergeCell ref="A2:G2"/>
    <mergeCell ref="B21:D21"/>
    <mergeCell ref="E20:G20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8" customWidth="1" min="4" max="4"/>
    <col width="46" customWidth="1" min="5" max="5"/>
    <col width="14" customWidth="1" min="6" max="6"/>
  </cols>
  <sheetData>
    <row r="1" ht="24" customHeight="1">
      <c r="A1" s="12" t="inlineStr">
        <is>
          <t>領先指標儀表板（LEADING INDICATORS）  資料截至 2026-09-09</t>
        </is>
      </c>
    </row>
    <row r="2">
      <c r="A2" s="2" t="inlineStr">
        <is>
          <t>訊號：R = 看空/警示，A = 中性偏警惕，G = 看多/支撐。排序＝對後市影響力由高至低。</t>
        </is>
      </c>
    </row>
    <row r="3"/>
    <row r="4" ht="30" customHeight="1">
      <c r="A4" s="3" t="inlineStr">
        <is>
          <t>指標</t>
        </is>
      </c>
      <c r="B4" s="3" t="inlineStr">
        <is>
          <t>現值</t>
        </is>
      </c>
      <c r="C4" s="3" t="inlineStr">
        <is>
          <t>觸發閾值</t>
        </is>
      </c>
      <c r="D4" s="3" t="inlineStr">
        <is>
          <t>訊號</t>
        </is>
      </c>
      <c r="E4" s="3" t="inlineStr">
        <is>
          <t>解讀（為何是領先指標）</t>
        </is>
      </c>
      <c r="F4" s="3" t="inlineStr">
        <is>
          <t>更新頻率</t>
        </is>
      </c>
    </row>
    <row r="5" ht="42" customHeight="1">
      <c r="A5" s="41" t="inlineStr">
        <is>
          <t>Brent 原油</t>
        </is>
      </c>
      <c r="B5" s="30" t="inlineStr">
        <is>
          <t>$97.41 (9/8)</t>
        </is>
      </c>
      <c r="C5" s="4" t="inlineStr">
        <is>
          <t>&gt; $100 = 紅；&lt; $80 = 綠</t>
        </is>
      </c>
      <c r="D5" s="31" t="inlineStr">
        <is>
          <t>R</t>
        </is>
      </c>
      <c r="E5" s="4" t="inlineStr">
        <is>
          <t>整條傳導鏈的源頭：油價 → 頭條CPI → 聯儲局立場 → 折現率 → 股票估值。目前是四大力量的實際驅動軸。</t>
        </is>
      </c>
      <c r="F5" s="13" t="inlineStr">
        <is>
          <t>即時</t>
        </is>
      </c>
    </row>
    <row r="6" ht="42" customHeight="1">
      <c r="A6" s="42" t="inlineStr">
        <is>
          <t>Brent 按年變動</t>
        </is>
      </c>
      <c r="B6" s="32" t="inlineStr">
        <is>
          <t>+46.7%</t>
        </is>
      </c>
      <c r="C6" s="6" t="inlineStr">
        <is>
          <t>&gt; +40% 歷來 12 個月內伴隨衰退</t>
        </is>
      </c>
      <c r="D6" s="31" t="inlineStr">
        <is>
          <t>R</t>
        </is>
      </c>
      <c r="E6" s="6" t="inlineStr">
        <is>
          <t>1973/1979/1990/2008/2022 五次油價按年 &gt;40% 中，四次於 12 個月內出現衰退。這是目前最硬的警號。</t>
        </is>
      </c>
      <c r="F6" s="15" t="inlineStr">
        <is>
          <t>即時</t>
        </is>
      </c>
    </row>
    <row r="7" ht="42" customHeight="1">
      <c r="A7" s="4" t="inlineStr">
        <is>
          <t>頭條CPI vs 核心CPI 差距</t>
        </is>
      </c>
      <c r="B7" s="30" t="inlineStr">
        <is>
          <t>3.4% vs 2.5% = +0.9pt</t>
        </is>
      </c>
      <c r="C7" s="4" t="inlineStr">
        <is>
          <t>&gt; +1.0pt = 紅</t>
        </is>
      </c>
      <c r="D7" s="31" t="inlineStr">
        <is>
          <t>R</t>
        </is>
      </c>
      <c r="E7" s="4" t="inlineStr">
        <is>
          <t>差距全部來自能源。差距擴大＝油價正在滲入通脹預期，這正是逼使央行轉鷹的機制。8/CPI 於 9/11 公佈。</t>
        </is>
      </c>
      <c r="F7" s="13" t="inlineStr">
        <is>
          <t>月 (9/11)</t>
        </is>
      </c>
    </row>
    <row r="8" ht="42" customHeight="1">
      <c r="A8" s="6" t="inlineStr">
        <is>
          <t>9/16 FOMC 加息機率</t>
        </is>
      </c>
      <c r="B8" s="32" t="inlineStr">
        <is>
          <t>約 60%</t>
        </is>
      </c>
      <c r="C8" s="6" t="inlineStr">
        <is>
          <t>&gt; 50% = 紅</t>
        </is>
      </c>
      <c r="D8" s="31" t="inlineStr">
        <is>
          <t>R</t>
        </is>
      </c>
      <c r="E8" s="6" t="inlineStr">
        <is>
          <t>寬鬆週期是否正式結束的裁決。若點陣圖上移，2024–25 的估值擴張前提失效。</t>
        </is>
      </c>
      <c r="F8" s="15" t="inlineStr">
        <is>
          <t>即時</t>
        </is>
      </c>
    </row>
    <row r="9" ht="42" customHeight="1">
      <c r="A9" s="41" t="inlineStr">
        <is>
          <t>10 年期美債孳息</t>
        </is>
      </c>
      <c r="B9" s="30" t="inlineStr">
        <is>
          <t>4.77%</t>
        </is>
      </c>
      <c r="C9" s="4" t="inlineStr">
        <is>
          <t>&gt; 5.00% = 紅</t>
        </is>
      </c>
      <c r="D9" s="31" t="inlineStr">
        <is>
          <t>R</t>
        </is>
      </c>
      <c r="E9" s="4" t="inlineStr">
        <is>
          <t>破 5% 是估值壓縮的機械性觸發點；2023-10 與 2025 兩次觸及 5% 均引發 8%+ 修正。</t>
        </is>
      </c>
      <c r="F9" s="13" t="inlineStr">
        <is>
          <t>即時</t>
        </is>
      </c>
    </row>
    <row r="10" ht="42" customHeight="1">
      <c r="A10" s="42" t="inlineStr">
        <is>
          <t>VIX</t>
        </is>
      </c>
      <c r="B10" s="32" t="inlineStr">
        <is>
          <t>15.30</t>
        </is>
      </c>
      <c r="C10" s="6" t="inlineStr">
        <is>
          <t>&lt; 16 且油價 &gt;$95 = 極度不對稱</t>
        </is>
      </c>
      <c r="D10" s="31" t="inlineStr">
        <is>
          <t>R</t>
        </is>
      </c>
      <c r="E10" s="6" t="inlineStr">
        <is>
          <t>低波動不等於低風險。目前尾部保護的成本處於歷史低位，而尾部風險處於高位——最值得利用的錯價。</t>
        </is>
      </c>
      <c r="F10" s="15" t="inlineStr">
        <is>
          <t>即時</t>
        </is>
      </c>
    </row>
    <row r="11" ht="42" customHeight="1">
      <c r="A11" s="41" t="inlineStr">
        <is>
          <t>標普 500</t>
        </is>
      </c>
      <c r="B11" s="30" t="inlineStr">
        <is>
          <t>7,681</t>
        </is>
      </c>
      <c r="C11" s="4" t="inlineStr">
        <is>
          <t>支撐 7,600 / 阻力 7,800</t>
        </is>
      </c>
      <c r="D11" s="33" t="inlineStr">
        <is>
          <t>A</t>
        </is>
      </c>
      <c r="E11" s="4" t="inlineStr">
        <is>
          <t>區間收窄中。7,600 是本輪上升趨勢的最後防線，跌破則量化基金與 CTA 的機械式減倉會放大跌幅。</t>
        </is>
      </c>
      <c r="F11" s="13" t="inlineStr">
        <is>
          <t>即時</t>
        </is>
      </c>
    </row>
    <row r="12" ht="42" customHeight="1">
      <c r="A12" s="42" t="inlineStr">
        <is>
          <t>黃金</t>
        </is>
      </c>
      <c r="B12" s="32" t="inlineStr">
        <is>
          <t>$4,480</t>
        </is>
      </c>
      <c r="C12" s="6" t="inlineStr">
        <is>
          <t>續創新高 = 貨幣/地緣避險需求</t>
        </is>
      </c>
      <c r="D12" s="33" t="inlineStr">
        <is>
          <t>A</t>
        </is>
      </c>
      <c r="E12" s="6" t="inlineStr">
        <is>
          <t>黃金與實質利率同步上升＝市場在對沖『央行失去控制』的尾部情境，而非單純的通脹交易。</t>
        </is>
      </c>
      <c r="F12" s="15" t="inlineStr">
        <is>
          <t>即時</t>
        </is>
      </c>
    </row>
    <row r="13" ht="42" customHeight="1">
      <c r="A13" s="41" t="inlineStr">
        <is>
          <t>Brent 期貨曲線形態</t>
        </is>
      </c>
      <c r="B13" s="30" t="inlineStr">
        <is>
          <t>逆價差 (backwardation)</t>
        </is>
      </c>
      <c r="C13" s="4" t="inlineStr">
        <is>
          <t>轉 contango = 需求破壞確認</t>
        </is>
      </c>
      <c r="D13" s="33" t="inlineStr">
        <is>
          <t>A</t>
        </is>
      </c>
      <c r="E13" s="4" t="inlineStr">
        <is>
          <t>分辨『供應短缺型高油價』（可持續、通脹型）與『衰退前夕型』（需求崩、通縮型）的唯一可靠指標。</t>
        </is>
      </c>
      <c r="F13" s="13" t="inlineStr">
        <is>
          <t>日</t>
        </is>
      </c>
    </row>
    <row r="14" ht="42" customHeight="1">
      <c r="A14" s="6" t="inlineStr">
        <is>
          <t>特朗普支持度</t>
        </is>
      </c>
      <c r="B14" s="32" t="inlineStr">
        <is>
          <t>約 38%</t>
        </is>
      </c>
      <c r="C14" s="6" t="inlineStr">
        <is>
          <t>&lt; 40% = 分裂政府機率上升</t>
        </is>
      </c>
      <c r="D14" s="33" t="inlineStr">
        <is>
          <t>A</t>
        </is>
      </c>
      <c r="E14" s="6" t="inlineStr">
        <is>
          <t>決定 11/3 期中選舉結果與 Q4 債限/撥款的攻防強度；不確定性在 11/3 出清。</t>
        </is>
      </c>
      <c r="F14" s="15" t="inlineStr">
        <is>
          <t>週</t>
        </is>
      </c>
    </row>
    <row r="15" ht="42" customHeight="1">
      <c r="A15" s="4" t="inlineStr">
        <is>
          <t>五大雲廠 AI 資本開支</t>
        </is>
      </c>
      <c r="B15" s="30" t="inlineStr">
        <is>
          <t>2026: $7,750–8,000 億</t>
        </is>
      </c>
      <c r="C15" s="4" t="inlineStr">
        <is>
          <t>指引下修 = 轉紅</t>
        </is>
      </c>
      <c r="D15" s="34" t="inlineStr">
        <is>
          <t>G</t>
        </is>
      </c>
      <c r="E15" s="4" t="inlineStr">
        <is>
          <t>目前四大力量中唯一的支撐。增速仍在上升（按年 +92%），未見任何見頂訊號。</t>
        </is>
      </c>
      <c r="F15" s="13" t="inlineStr">
        <is>
          <t>季</t>
        </is>
      </c>
    </row>
    <row r="16" ht="42" customHeight="1">
      <c r="A16" s="6" t="inlineStr">
        <is>
          <t>AI 相關高收益債利差</t>
        </is>
      </c>
      <c r="B16" s="32" t="inlineStr">
        <is>
          <t>需監察</t>
        </is>
      </c>
      <c r="C16" s="6" t="inlineStr">
        <is>
          <t>較納指提早約 4 個月轉向</t>
        </is>
      </c>
      <c r="D16" s="33" t="inlineStr">
        <is>
          <t>A</t>
        </is>
      </c>
      <c r="E16" s="6" t="inlineStr">
        <is>
          <t>1999 年最靈敏的領先指標。AI 資本開支正由現金轉向債務融資，令這一指標的重要性在本輪大幅上升。</t>
        </is>
      </c>
      <c r="F16" s="15" t="inlineStr">
        <is>
          <t>日</t>
        </is>
      </c>
    </row>
    <row r="17"/>
    <row r="18" ht="24" customHeight="1">
      <c r="A18" s="20" t="inlineStr">
        <is>
          <t>傳導鏈（由左至右，每一環都是下一環的領先指標）</t>
        </is>
      </c>
    </row>
    <row r="19" ht="90" customHeight="1">
      <c r="A19" s="21" t="inlineStr">
        <is>
          <t>荷姆茲海峽中斷  →  Brent +47% 按年  →  頭條CPI 3.4% &gt; 核心 2.5%  →  通脹預期上移  →  Warsh 由觀望轉加息  →  10 年期破 5%  →  折現率上升  →  AI 成長股估值壓縮  →  標普跌破 7,600
要打斷這條鏈，只需要打斷第一環：荷姆茲通航恢復。因此對日內交易者而言，『中東停火 / 復航 / OPEC+ 增產』的頭條，是目前市場上最高 beta 的單一催化劑——它會同時觸發：能源股急跌、成長股急升、債息急跌、VIX 崩塌。</t>
        </is>
      </c>
    </row>
  </sheetData>
  <mergeCells count="4">
    <mergeCell ref="A19:F19"/>
    <mergeCell ref="A2:F2"/>
    <mergeCell ref="A1:F1"/>
    <mergeCell ref="A18:F18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26" customWidth="1" min="4" max="4"/>
    <col width="40" customWidth="1" min="5" max="5"/>
    <col width="14" customWidth="1" min="6" max="6"/>
  </cols>
  <sheetData>
    <row r="1" ht="24" customHeight="1">
      <c r="A1" s="12" t="inlineStr">
        <is>
          <t>日內交易劇本 (DAY TRADING PLAYBOOK)   2026-09-09</t>
        </is>
      </c>
    </row>
    <row r="2">
      <c r="A2" s="2" t="inlineStr">
        <is>
          <t>本頁為框架與情境準備，非投資建議。所有價位為當時市場資料的近似值，執行前務必以即時報價覆核。</t>
        </is>
      </c>
    </row>
    <row r="3"/>
    <row r="4" ht="24" customHeight="1">
      <c r="A4" s="20" t="inlineStr">
        <is>
          <t>A. 未來 8 週事件日曆（波動集中點）</t>
        </is>
      </c>
    </row>
    <row r="5" ht="30" customHeight="1">
      <c r="A5" s="3" t="inlineStr">
        <is>
          <t>日期</t>
        </is>
      </c>
      <c r="B5" s="3" t="inlineStr">
        <is>
          <t>事件</t>
        </is>
      </c>
      <c r="C5" s="3" t="inlineStr">
        <is>
          <t>為何重要</t>
        </is>
      </c>
      <c r="D5" s="3" t="inlineStr">
        <is>
          <t>偏向</t>
        </is>
      </c>
      <c r="E5" s="3" t="inlineStr">
        <is>
          <t>劇本</t>
        </is>
      </c>
      <c r="F5" s="3" t="inlineStr"/>
    </row>
    <row r="6" ht="40" customHeight="1">
      <c r="A6" s="9" t="inlineStr">
        <is>
          <t>9/11 (五)</t>
        </is>
      </c>
      <c r="B6" s="4" t="inlineStr">
        <is>
          <t>8 月 CPI</t>
        </is>
      </c>
      <c r="C6" s="4" t="inlineStr">
        <is>
          <t>頭條 vs 核心的差距是否擴大＝油價滲透的證據</t>
        </is>
      </c>
      <c r="D6" s="4" t="inlineStr">
        <is>
          <t>高波動雙向</t>
        </is>
      </c>
      <c r="E6" s="4" t="inlineStr">
        <is>
          <t>8:30 前不持倉。頭條 &gt;3.6% → 做多波動、空成長；&lt;3.2% → 空油多科技。</t>
        </is>
      </c>
      <c r="F6" s="27" t="n"/>
    </row>
    <row r="7" ht="40" customHeight="1">
      <c r="A7" s="9" t="inlineStr">
        <is>
          <t>9/16 (三)</t>
        </is>
      </c>
      <c r="B7" s="4" t="inlineStr">
        <is>
          <t>FOMC + 點陣圖 + 記者會</t>
        </is>
      </c>
      <c r="C7" s="4" t="inlineStr">
        <is>
          <t>本輪流動性週期方向的裁決點；市場定價 60% 加息</t>
        </is>
      </c>
      <c r="D7" s="4" t="inlineStr">
        <is>
          <t>最高風險日</t>
        </is>
      </c>
      <c r="E7" s="4" t="inlineStr">
        <is>
          <t>2:00 決議、2:30 記者會。經典型態：決議後首個方向常被 3:00 前反轉，勿追第一根。</t>
        </is>
      </c>
      <c r="F7" s="27" t="n"/>
    </row>
    <row r="8" ht="40" customHeight="1">
      <c r="A8" s="9" t="inlineStr">
        <is>
          <t>9/30 (三)</t>
        </is>
      </c>
      <c r="B8" s="4" t="inlineStr">
        <is>
          <t>季結 + 財政年度結束</t>
        </is>
      </c>
      <c r="C8" s="4" t="inlineStr">
        <is>
          <t>再平衡流量 + 政府撥款死線</t>
        </is>
      </c>
      <c r="D8" s="4" t="inlineStr">
        <is>
          <t>流量驅動</t>
        </is>
      </c>
      <c r="E8" s="4" t="inlineStr">
        <is>
          <t>月底/季底最後 30 分鐘的 MOC 失衡是可交易的。留意撥款僵局頭條。</t>
        </is>
      </c>
      <c r="F8" s="27" t="n"/>
    </row>
    <row r="9" ht="40" customHeight="1">
      <c r="A9" s="9" t="inlineStr">
        <is>
          <t>10/2 (五)</t>
        </is>
      </c>
      <c r="B9" s="4" t="inlineStr">
        <is>
          <t>9 月非農就業</t>
        </is>
      </c>
      <c r="C9" s="4" t="inlineStr">
        <is>
          <t>『油價侵蝕需求』是否開始出現在勞動力市場</t>
        </is>
      </c>
      <c r="D9" s="4" t="inlineStr">
        <is>
          <t>高波動</t>
        </is>
      </c>
      <c r="E9" s="4" t="inlineStr">
        <is>
          <t>此時就業轉弱＝壞消息就是壞消息（因為聯儲局被通脹綁住，不會來救）。</t>
        </is>
      </c>
      <c r="F9" s="27" t="n"/>
    </row>
    <row r="10" ht="40" customHeight="1">
      <c r="A10" s="9" t="inlineStr">
        <is>
          <t>10 月中</t>
        </is>
      </c>
      <c r="B10" s="4" t="inlineStr">
        <is>
          <t>Q3 業績期開始（金融股先行）</t>
        </is>
      </c>
      <c r="C10" s="4" t="inlineStr">
        <is>
          <t>油價對毛利的實際侵蝕首次入賬</t>
        </is>
      </c>
      <c r="D10" s="4" t="inlineStr">
        <is>
          <t>個股分化</t>
        </is>
      </c>
      <c r="E10" s="4" t="inlineStr">
        <is>
          <t>留意指引而非當季數字。運輸/零售/消費品的成本轉嫁能力是關鍵。</t>
        </is>
      </c>
      <c r="F10" s="27" t="n"/>
    </row>
    <row r="11" ht="40" customHeight="1">
      <c r="A11" s="9" t="inlineStr">
        <is>
          <t>10/27–28</t>
        </is>
      </c>
      <c r="B11" s="4" t="inlineStr">
        <is>
          <t>FOMC（無記者會月份）</t>
        </is>
      </c>
      <c r="C11" s="4" t="inlineStr">
        <is>
          <t>若 9 月未動，10 月為第二個窗口</t>
        </is>
      </c>
      <c r="D11" s="4" t="inlineStr">
        <is>
          <t>中</t>
        </is>
      </c>
      <c r="E11" s="4" t="inlineStr">
        <is>
          <t>無 SEP 的會議通常波動較低，除非 9 月留下懸念。</t>
        </is>
      </c>
      <c r="F11" s="27" t="n"/>
    </row>
    <row r="12" ht="40" customHeight="1">
      <c r="A12" s="9" t="inlineStr">
        <is>
          <t>11/3 (二)</t>
        </is>
      </c>
      <c r="B12" s="4" t="inlineStr">
        <is>
          <t>★ 期中選舉</t>
        </is>
      </c>
      <c r="C12" s="4" t="inlineStr">
        <is>
          <t>政治不確定性的出清點</t>
        </is>
      </c>
      <c r="D12" s="4" t="inlineStr">
        <is>
          <t>★ 結構性轉折</t>
        </is>
      </c>
      <c r="E12" s="4" t="inlineStr">
        <is>
          <t>歷史上 1950 年以來期中選舉後 12 個月標普 100% 上漲。選舉夜的恐慌是高勝率的做多位。</t>
        </is>
      </c>
      <c r="F12" s="27" t="n"/>
    </row>
    <row r="13" ht="40" customHeight="1">
      <c r="A13" s="9" t="inlineStr">
        <is>
          <t>全期 · 每週三</t>
        </is>
      </c>
      <c r="B13" s="4" t="inlineStr">
        <is>
          <t>EIA 原油庫存 10:30 ET</t>
        </is>
      </c>
      <c r="C13" s="4" t="inlineStr">
        <is>
          <t>荷姆茲中斷對實體庫存的影響</t>
        </is>
      </c>
      <c r="D13" s="4" t="inlineStr">
        <is>
          <t>油氣板塊日內主軸</t>
        </is>
      </c>
      <c r="E13" s="4" t="inlineStr">
        <is>
          <t>周二 16:30 API 先行；兩者背離時，10:30 的反向動能最強。</t>
        </is>
      </c>
      <c r="F13" s="27" t="n"/>
    </row>
    <row r="14" ht="40" customHeight="1">
      <c r="A14" s="9" t="inlineStr">
        <is>
          <t>全期 · 隨時</t>
        </is>
      </c>
      <c r="B14" s="4" t="inlineStr">
        <is>
          <t>中東頭條（停火/襲擊/OPEC+）</t>
        </is>
      </c>
      <c r="C14" s="4" t="inlineStr">
        <is>
          <t>目前市場最高 beta 的單一催化劑</t>
        </is>
      </c>
      <c r="D14" s="4" t="inlineStr">
        <is>
          <t>★ Gap 風險</t>
        </is>
      </c>
      <c r="E14" s="4" t="inlineStr">
        <is>
          <t>襲擊多發生在亞洲時段 → 原油期貨隔夜跳空 → 美股開盤前已定調。隔夜留倉需計算此風險。</t>
        </is>
      </c>
      <c r="F14" s="27" t="n"/>
    </row>
    <row r="15"/>
    <row r="16" ht="24" customHeight="1">
      <c r="A16" s="20" t="inlineStr">
        <is>
          <t>B. 關鍵價位地圖（標普 500）</t>
        </is>
      </c>
    </row>
    <row r="17" ht="30" customHeight="1">
      <c r="A17" s="3" t="inlineStr">
        <is>
          <t>層級</t>
        </is>
      </c>
      <c r="B17" s="3" t="inlineStr">
        <is>
          <t>價位</t>
        </is>
      </c>
      <c r="C17" s="3" t="inlineStr">
        <is>
          <t>性質</t>
        </is>
      </c>
      <c r="D17" s="3" t="inlineStr">
        <is>
          <t>被觸發後的含意</t>
        </is>
      </c>
      <c r="E17" s="3" t="inlineStr">
        <is>
          <t>對應交易</t>
        </is>
      </c>
      <c r="F17" s="3" t="inlineStr"/>
    </row>
    <row r="18" ht="26" customHeight="1">
      <c r="A18" s="4" t="inlineStr">
        <is>
          <t>阻力 2</t>
        </is>
      </c>
      <c r="B18" s="4" t="inlineStr">
        <is>
          <t>8,000</t>
        </is>
      </c>
      <c r="C18" s="4" t="inlineStr">
        <is>
          <t>整數關口 / 心理</t>
        </is>
      </c>
      <c r="D18" s="4" t="inlineStr">
        <is>
          <t>中東緩和 + CPI 降溫的組合才可能達到</t>
        </is>
      </c>
      <c r="E18" s="4" t="inlineStr">
        <is>
          <t>獲利了結區</t>
        </is>
      </c>
      <c r="F18" s="27" t="n"/>
    </row>
    <row r="19" ht="26" customHeight="1">
      <c r="A19" s="4" t="inlineStr">
        <is>
          <t>阻力 1</t>
        </is>
      </c>
      <c r="B19" s="4" t="inlineStr">
        <is>
          <t>7,800</t>
        </is>
      </c>
      <c r="C19" s="4" t="inlineStr">
        <is>
          <t>區間上緣</t>
        </is>
      </c>
      <c r="D19" s="4" t="inlineStr">
        <is>
          <t>突破需要新的正面催化劑（停火或鴿派 FOMC）</t>
        </is>
      </c>
      <c r="E19" s="4" t="inlineStr">
        <is>
          <t>區間上緣做空，除非放量突破</t>
        </is>
      </c>
      <c r="F19" s="27" t="n"/>
    </row>
    <row r="20" ht="26" customHeight="1">
      <c r="A20" s="4" t="inlineStr">
        <is>
          <t>現價</t>
        </is>
      </c>
      <c r="B20" s="4" t="inlineStr">
        <is>
          <t>7,681</t>
        </is>
      </c>
      <c r="C20" s="4" t="inlineStr">
        <is>
          <t>區間中軸</t>
        </is>
      </c>
      <c r="D20" s="4" t="inlineStr">
        <is>
          <t>無方向，低勝率區</t>
        </is>
      </c>
      <c r="E20" s="4" t="inlineStr">
        <is>
          <t>不交易區間中軸</t>
        </is>
      </c>
      <c r="F20" s="27" t="n"/>
    </row>
    <row r="21" ht="26" customHeight="1">
      <c r="A21" s="35" t="inlineStr">
        <is>
          <t>支撐 1</t>
        </is>
      </c>
      <c r="B21" s="35" t="inlineStr">
        <is>
          <t>7,600</t>
        </is>
      </c>
      <c r="C21" s="35" t="inlineStr">
        <is>
          <t>★ 區間下緣 / 趨勢最後防線</t>
        </is>
      </c>
      <c r="D21" s="35" t="inlineStr">
        <is>
          <t>跌破 = CTA 與波動率控制基金機械式減倉啟動</t>
        </is>
      </c>
      <c r="E21" s="35" t="inlineStr">
        <is>
          <t>跌破且回抽不上 → 做空至 7,400</t>
        </is>
      </c>
      <c r="F21" s="36" t="n"/>
    </row>
    <row r="22" ht="26" customHeight="1">
      <c r="A22" s="4" t="inlineStr">
        <is>
          <t>支撐 2</t>
        </is>
      </c>
      <c r="B22" s="4" t="inlineStr">
        <is>
          <t>7,400</t>
        </is>
      </c>
      <c r="C22" s="4" t="inlineStr">
        <is>
          <t>約 -3.7%，前次整固平台</t>
        </is>
      </c>
      <c r="D22" s="4" t="inlineStr">
        <is>
          <t>一般修正的第一目標</t>
        </is>
      </c>
      <c r="E22" s="4" t="inlineStr">
        <is>
          <t>第一目標，部分回補</t>
        </is>
      </c>
      <c r="F22" s="27" t="n"/>
    </row>
    <row r="23" ht="26" customHeight="1">
      <c r="A23" s="4" t="inlineStr">
        <is>
          <t>支撐 3</t>
        </is>
      </c>
      <c r="B23" s="4" t="inlineStr">
        <is>
          <t>7,300</t>
        </is>
      </c>
      <c r="C23" s="4" t="inlineStr">
        <is>
          <t>約 -5%，典型的 5% 回調</t>
        </is>
      </c>
      <c r="D23" s="4" t="inlineStr">
        <is>
          <t>常規回調的完成位</t>
        </is>
      </c>
      <c r="E23" s="4" t="inlineStr">
        <is>
          <t>第二目標</t>
        </is>
      </c>
      <c r="F23" s="27" t="n"/>
    </row>
    <row r="24" ht="26" customHeight="1">
      <c r="A24" s="4" t="inlineStr">
        <is>
          <t>支撐 4</t>
        </is>
      </c>
      <c r="B24" s="4" t="inlineStr">
        <is>
          <t>6,900–7,000</t>
        </is>
      </c>
      <c r="C24" s="4" t="inlineStr">
        <is>
          <t>約 -10%，期中選舉年的中位回撤</t>
        </is>
      </c>
      <c r="D24" s="4" t="inlineStr">
        <is>
          <t>對應期中年平均 -19.5% 回撤的一半</t>
        </is>
      </c>
      <c r="E24" s="4" t="inlineStr">
        <is>
          <t>戰略建倉的第一區</t>
        </is>
      </c>
      <c r="F24" s="27" t="n"/>
    </row>
    <row r="25" ht="26" customHeight="1">
      <c r="A25" s="35" t="inlineStr">
        <is>
          <t>支撐 5</t>
        </is>
      </c>
      <c r="B25" s="35" t="inlineStr">
        <is>
          <t>6,150–6,300</t>
        </is>
      </c>
      <c r="C25" s="35" t="inlineStr">
        <is>
          <t>約 -19%，期中年平均最大回撤</t>
        </is>
      </c>
      <c r="D25" s="35" t="inlineStr">
        <is>
          <t>對應 1974/1990/2022 型態的完整出清</t>
        </is>
      </c>
      <c r="E25" s="35" t="inlineStr">
        <is>
          <t>★ 戰略建倉的核心區</t>
        </is>
      </c>
      <c r="F25" s="36" t="n"/>
    </row>
    <row r="26"/>
    <row r="27" ht="24" customHeight="1">
      <c r="A27" s="20" t="inlineStr">
        <is>
          <t>C. 交易時段地圖（美東時間）與各時段的主導變數</t>
        </is>
      </c>
    </row>
    <row r="28" ht="30" customHeight="1">
      <c r="A28" s="3" t="inlineStr">
        <is>
          <t>時段</t>
        </is>
      </c>
      <c r="B28" s="3" t="inlineStr">
        <is>
          <t>美東時間</t>
        </is>
      </c>
      <c r="C28" s="3" t="inlineStr">
        <is>
          <t>主導變數</t>
        </is>
      </c>
      <c r="D28" s="3" t="inlineStr">
        <is>
          <t>典型行為</t>
        </is>
      </c>
      <c r="E28" s="3" t="inlineStr">
        <is>
          <t>日內策略</t>
        </is>
      </c>
      <c r="F28" s="3" t="inlineStr"/>
    </row>
    <row r="29" ht="32" customHeight="1">
      <c r="A29" s="4" t="inlineStr">
        <is>
          <t>亞洲盤</t>
        </is>
      </c>
      <c r="B29" s="4" t="inlineStr">
        <is>
          <t>20:00–03:00</t>
        </is>
      </c>
      <c r="C29" s="4" t="inlineStr">
        <is>
          <t>中東頭條、油輪襲擊、荷姆茲航運資料</t>
        </is>
      </c>
      <c r="D29" s="4" t="inlineStr">
        <is>
          <t>原油期貨跳空的主要形成時段</t>
        </is>
      </c>
      <c r="E29" s="4" t="inlineStr">
        <is>
          <t>隔夜倉必須以 CL 的隔夜區間計算風險；不留裸空 gamma</t>
        </is>
      </c>
      <c r="F29" s="27" t="n"/>
    </row>
    <row r="30" ht="32" customHeight="1">
      <c r="A30" s="4" t="inlineStr">
        <is>
          <t>倫敦開盤</t>
        </is>
      </c>
      <c r="B30" s="4" t="inlineStr">
        <is>
          <t>03:00–05:00</t>
        </is>
      </c>
      <c r="C30" s="4" t="inlineStr">
        <is>
          <t>歐洲能源與天然氣定價、Brent 現貨</t>
        </is>
      </c>
      <c r="D30" s="4" t="inlineStr">
        <is>
          <t>當日油價方向多在此定調</t>
        </is>
      </c>
      <c r="E30" s="4" t="inlineStr">
        <is>
          <t>以 Brent 的倫敦開盤方向作為當日 XLE / 航運股的偏向</t>
        </is>
      </c>
      <c r="F30" s="27" t="n"/>
    </row>
    <row r="31" ht="32" customHeight="1">
      <c r="A31" s="4" t="inlineStr">
        <is>
          <t>盤前</t>
        </is>
      </c>
      <c r="B31" s="4" t="inlineStr">
        <is>
          <t>08:00–09:30</t>
        </is>
      </c>
      <c r="C31" s="4" t="inlineStr">
        <is>
          <t>8:30 經濟數據（CPI/NFP/PPI）</t>
        </is>
      </c>
      <c r="D31" s="4" t="inlineStr">
        <is>
          <t>數據日的最大單根波動常在 08:30–08:35</t>
        </is>
      </c>
      <c r="E31" s="4" t="inlineStr">
        <is>
          <t>數據前平倉；數據後等第一個 5 分鐘 K 完成再進場</t>
        </is>
      </c>
      <c r="F31" s="27" t="n"/>
    </row>
    <row r="32" ht="32" customHeight="1">
      <c r="A32" s="4" t="inlineStr">
        <is>
          <t>開盤 30 分鐘</t>
        </is>
      </c>
      <c r="B32" s="4" t="inlineStr">
        <is>
          <t>09:30–10:00</t>
        </is>
      </c>
      <c r="C32" s="4" t="inlineStr">
        <is>
          <t>隔夜 gap 的消化、開盤區間建立</t>
        </is>
      </c>
      <c r="D32" s="4" t="inlineStr">
        <is>
          <t>開盤區間突破 (ORB) 的最佳樣本</t>
        </is>
      </c>
      <c r="E32" s="4" t="inlineStr">
        <is>
          <t>ORB 策略；但 FOMC/CPI 日的 ORB 假突破率顯著上升</t>
        </is>
      </c>
      <c r="F32" s="27" t="n"/>
    </row>
    <row r="33" ht="32" customHeight="1">
      <c r="A33" s="4" t="inlineStr">
        <is>
          <t>10:00 / 10:30</t>
        </is>
      </c>
      <c r="B33" s="4" t="inlineStr">
        <is>
          <t>10:00–10:30</t>
        </is>
      </c>
      <c r="C33" s="4" t="inlineStr">
        <is>
          <t>10:00 次級數據；周三 10:30 EIA</t>
        </is>
      </c>
      <c r="D33" s="4" t="inlineStr">
        <is>
          <t>油氣板塊當日主要動能點</t>
        </is>
      </c>
      <c r="E33" s="4" t="inlineStr">
        <is>
          <t>EIA 日：10:30 前不持有能源股方向倉</t>
        </is>
      </c>
      <c r="F33" s="27" t="n"/>
    </row>
    <row r="34" ht="32" customHeight="1">
      <c r="A34" s="4" t="inlineStr">
        <is>
          <t>午盤</t>
        </is>
      </c>
      <c r="B34" s="4" t="inlineStr">
        <is>
          <t>11:30–14:00</t>
        </is>
      </c>
      <c r="C34" s="4" t="inlineStr">
        <is>
          <t>流動性最低，趨勢最弱</t>
        </is>
      </c>
      <c r="D34" s="4" t="inlineStr">
        <is>
          <t>假突破高發時段</t>
        </is>
      </c>
      <c r="E34" s="4" t="inlineStr">
        <is>
          <t>縮小倉位或不交易；除非 FOMC 日</t>
        </is>
      </c>
      <c r="F34" s="27" t="n"/>
    </row>
    <row r="35" ht="32" customHeight="1">
      <c r="A35" s="4" t="inlineStr">
        <is>
          <t>FOMC 2:00</t>
        </is>
      </c>
      <c r="B35" s="4" t="inlineStr">
        <is>
          <t>14:00–15:00</t>
        </is>
      </c>
      <c r="C35" s="4" t="inlineStr">
        <is>
          <t>決議 + 點陣圖 + 記者會</t>
        </is>
      </c>
      <c r="D35" s="4" t="inlineStr">
        <is>
          <t>首個方向常於 3:00 前被反轉</t>
        </is>
      </c>
      <c r="E35" s="4" t="inlineStr">
        <is>
          <t>★ 不追第一根；等 14:45 後的第二方向</t>
        </is>
      </c>
      <c r="F35" s="27" t="n"/>
    </row>
    <row r="36" ht="32" customHeight="1">
      <c r="A36" s="4" t="inlineStr">
        <is>
          <t>尾盤</t>
        </is>
      </c>
      <c r="B36" s="4" t="inlineStr">
        <is>
          <t>15:00–16:00</t>
        </is>
      </c>
      <c r="C36" s="4" t="inlineStr">
        <is>
          <t>MOC 失衡、指數基金再平衡、Gamma</t>
        </is>
      </c>
      <c r="D36" s="4" t="inlineStr">
        <is>
          <t>月底/季底的失衡可交易</t>
        </is>
      </c>
      <c r="E36" s="4" t="inlineStr">
        <is>
          <t>15:50 公佈 MOC 失衡；配合期權到期日的 pin 效應</t>
        </is>
      </c>
      <c r="F36" s="27" t="n"/>
    </row>
    <row r="37"/>
    <row r="38" ht="24" customHeight="1">
      <c r="A38" s="20" t="inlineStr">
        <is>
          <t>D. 四力框架下的板塊與工具偏向</t>
        </is>
      </c>
    </row>
    <row r="39" ht="30" customHeight="1">
      <c r="A39" s="3" t="inlineStr">
        <is>
          <t>方向</t>
        </is>
      </c>
      <c r="B39" s="3" t="inlineStr">
        <is>
          <t>標的 / 板塊</t>
        </is>
      </c>
      <c r="C39" s="3" t="inlineStr">
        <is>
          <t>理由（對應哪一股力量）</t>
        </is>
      </c>
      <c r="D39" s="3" t="inlineStr">
        <is>
          <t>風險（什麼會令它失效）</t>
        </is>
      </c>
      <c r="E39" s="3" t="inlineStr"/>
      <c r="F39" s="3" t="inlineStr"/>
    </row>
    <row r="40" ht="30" customHeight="1">
      <c r="A40" s="37" t="inlineStr">
        <is>
          <t>偏多</t>
        </is>
      </c>
      <c r="B40" s="41" t="inlineStr">
        <is>
          <t>能源 (XLE)、油服、油輪航運</t>
        </is>
      </c>
      <c r="C40" s="4" t="inlineStr">
        <is>
          <t>④ 黑天鵝：荷姆茲供應中斷 + 運費與保費暴漲</t>
        </is>
      </c>
      <c r="D40" s="4" t="inlineStr">
        <is>
          <t>停火或伊朗復出 → 單日可跌 8–10%</t>
        </is>
      </c>
      <c r="E40" s="27" t="n"/>
      <c r="F40" s="27" t="n"/>
    </row>
    <row r="41" ht="30" customHeight="1">
      <c r="A41" s="37" t="inlineStr">
        <is>
          <t>偏多</t>
        </is>
      </c>
      <c r="B41" s="4" t="inlineStr">
        <is>
          <t>黃金 / 貴金屬</t>
        </is>
      </c>
      <c r="C41" s="4" t="inlineStr">
        <is>
          <t>① + ④：央行可信度風險 + 地緣避險，已創新高</t>
        </is>
      </c>
      <c r="D41" s="4" t="inlineStr">
        <is>
          <t>若 Warsh 加息且成功壓通脹 → 實質利率上升壓黃金</t>
        </is>
      </c>
      <c r="E41" s="27" t="n"/>
      <c r="F41" s="27" t="n"/>
    </row>
    <row r="42" ht="30" customHeight="1">
      <c r="A42" s="37" t="inlineStr">
        <is>
          <t>偏多</t>
        </is>
      </c>
      <c r="B42" s="4" t="inlineStr">
        <is>
          <t>金融、醫療、工業、原材料</t>
        </is>
      </c>
      <c r="C42" s="4" t="inlineStr">
        <is>
          <t>① 高利率環境下的相對受惠者（券商共識偏好板塊）</t>
        </is>
      </c>
      <c r="D42" s="4" t="inlineStr">
        <is>
          <t>若轉為衰退敘事，金融的信貸成本會反噬</t>
        </is>
      </c>
      <c r="E42" s="27" t="n"/>
      <c r="F42" s="27" t="n"/>
    </row>
    <row r="43" ht="30" customHeight="1">
      <c r="A43" s="37" t="inlineStr">
        <is>
          <t>偏多</t>
        </is>
      </c>
      <c r="B43" s="41" t="inlineStr">
        <is>
          <t>波動率 (VIX 買權 / 尾部保護)</t>
        </is>
      </c>
      <c r="C43" s="4" t="inlineStr">
        <is>
          <t>★ 最不對稱：VIX 15.3 對上 60% 加息機率與 $97 油價</t>
        </is>
      </c>
      <c r="D43" s="4" t="inlineStr">
        <is>
          <t>時間價值損耗；需嚴格控制在總資產 1–2%</t>
        </is>
      </c>
      <c r="E43" s="27" t="n"/>
      <c r="F43" s="27" t="n"/>
    </row>
    <row r="44" ht="30" customHeight="1">
      <c r="A44" s="38" t="inlineStr">
        <is>
          <t>偏空</t>
        </is>
      </c>
      <c r="B44" s="4" t="inlineStr">
        <is>
          <t>消費非必需品、房地產</t>
        </is>
      </c>
      <c r="C44" s="4" t="inlineStr">
        <is>
          <t>① + ④：油價侵蝕可支配收入 + 高利率壓地產</t>
        </is>
      </c>
      <c r="D44" s="4" t="inlineStr">
        <is>
          <t>油價急跌則此交易立即失效</t>
        </is>
      </c>
      <c r="E44" s="27" t="n"/>
      <c r="F44" s="27" t="n"/>
    </row>
    <row r="45" ht="30" customHeight="1">
      <c r="A45" s="38" t="inlineStr">
        <is>
          <t>偏空</t>
        </is>
      </c>
      <c r="B45" s="4" t="inlineStr">
        <is>
          <t>長天期美債（若 10 年期未破 5%）</t>
        </is>
      </c>
      <c r="C45" s="4" t="inlineStr">
        <is>
          <t>① 加息風險 + ④ 通脹的能源推力</t>
        </is>
      </c>
      <c r="D45" s="4" t="inlineStr">
        <is>
          <t>若轉衰退敘事，長債會由通脹資產變避險資產</t>
        </is>
      </c>
      <c r="E45" s="27" t="n"/>
      <c r="F45" s="27" t="n"/>
    </row>
    <row r="46" ht="30" customHeight="1">
      <c r="A46" s="39" t="inlineStr">
        <is>
          <t>中性/持有</t>
        </is>
      </c>
      <c r="B46" s="4" t="inlineStr">
        <is>
          <t>AI 半導體與雲廠龍頭</t>
        </is>
      </c>
      <c r="C46" s="4" t="inlineStr">
        <is>
          <t>③ 唯一仍在擴張的力量，但同時對折現率最敏感</t>
        </is>
      </c>
      <c r="D46" s="4" t="inlineStr">
        <is>
          <t>利率與 capex 指引，任一轉向即需重估</t>
        </is>
      </c>
      <c r="E46" s="27" t="n"/>
      <c r="F46" s="27" t="n"/>
    </row>
    <row r="47"/>
    <row r="48" ht="24" customHeight="1">
      <c r="A48" s="20" t="inlineStr">
        <is>
          <t>E. 日內風控規則（在目前這個特定的市場結構下）</t>
        </is>
      </c>
    </row>
    <row r="49" ht="32" customHeight="1">
      <c r="A49" s="4" t="inlineStr">
        <is>
          <t>1. 隔夜 gap 風險已結構性上升。中東襲擊多在亞洲時段發生，美股開盤前方向已定。日內倉位原則上不過夜；必須過夜則將部位縮至平日的 1/3。</t>
        </is>
      </c>
      <c r="B49" s="10" t="n"/>
      <c r="C49" s="10" t="n"/>
      <c r="D49" s="10" t="n"/>
      <c r="E49" s="10" t="n"/>
      <c r="F49" s="11" t="n"/>
    </row>
    <row r="50" ht="32" customHeight="1">
      <c r="A50" s="4" t="inlineStr">
        <is>
          <t>2. VIX 15.3 是陷阱而非安全訊號。低波動使停損距離看似很近，但一則頭條就能製造 3 個標準差的跳空。以 ATR 而非固定點數設停損。</t>
        </is>
      </c>
      <c r="B50" s="10" t="n"/>
      <c r="C50" s="10" t="n"/>
      <c r="D50" s="10" t="n"/>
      <c r="E50" s="10" t="n"/>
      <c r="F50" s="11" t="n"/>
    </row>
    <row r="51" ht="32" customHeight="1">
      <c r="A51" s="4" t="inlineStr">
        <is>
          <t>3. 9/11 與 9/16 兩天不做隔夜倉、不做方向性裸賣期權。這兩天的隱含波動溢價是合理的，不要當作免費的錢去賣。</t>
        </is>
      </c>
      <c r="B51" s="10" t="n"/>
      <c r="C51" s="10" t="n"/>
      <c r="D51" s="10" t="n"/>
      <c r="E51" s="10" t="n"/>
      <c r="F51" s="11" t="n"/>
    </row>
    <row r="52" ht="32" customHeight="1">
      <c r="A52" s="4" t="inlineStr">
        <is>
          <t>4. 7,600 是機械式的分水嶺。之上：區間交易（上緣空、下緣多）。跌破且回抽不上：轉為趨勢跟隨做空，不再逆勢接刀。</t>
        </is>
      </c>
      <c r="B52" s="10" t="n"/>
      <c r="C52" s="10" t="n"/>
      <c r="D52" s="10" t="n"/>
      <c r="E52" s="10" t="n"/>
      <c r="F52" s="11" t="n"/>
    </row>
    <row r="53" ht="32" customHeight="1">
      <c r="A53" s="4" t="inlineStr">
        <is>
          <t>5. 油價與股市的相關性目前是負的（通脹體制）。一旦轉為正相關（油跌股也跌），代表市場敘事已由『通脹』切換為『衰退』——這是整套劇本需要重寫的訊號。</t>
        </is>
      </c>
      <c r="B53" s="10" t="n"/>
      <c r="C53" s="10" t="n"/>
      <c r="D53" s="10" t="n"/>
      <c r="E53" s="10" t="n"/>
      <c r="F53" s="11" t="n"/>
    </row>
    <row r="54" ht="32" customHeight="1">
      <c r="A54" s="4" t="inlineStr">
        <is>
          <t>6. 不要在期中選舉年的 Q4 做結構性的長期空頭。歷史型態（16 次中 11 次於 Q3–Q4 見底，選後 12 個月 100% 上漲）與短線的空頭訊號方向相反；短空可以，長空是逆歷史機率。</t>
        </is>
      </c>
      <c r="B54" s="10" t="n"/>
      <c r="C54" s="10" t="n"/>
      <c r="D54" s="10" t="n"/>
      <c r="E54" s="10" t="n"/>
      <c r="F54" s="11" t="n"/>
    </row>
    <row r="55" ht="32" customHeight="1">
      <c r="A55" s="4" t="inlineStr">
        <is>
          <t>7. 單一頭條的最大殺傷力來源＝『中東停火』。持有能源多頭 + 成長股空頭的組合，在停火頭條下會兩邊同時虧損。務必分開計算這個關聯風險，不要當作對沖。</t>
        </is>
      </c>
      <c r="B55" s="10" t="n"/>
      <c r="C55" s="10" t="n"/>
      <c r="D55" s="10" t="n"/>
      <c r="E55" s="10" t="n"/>
      <c r="F55" s="11" t="n"/>
    </row>
    <row r="56"/>
    <row r="57" ht="40" customHeight="1">
      <c r="A57" s="40" t="inlineStr">
        <is>
          <t>免責聲明：本文件為宏觀週期研究與交易框架整理，非投資建議、非買賣要約。所有數據為公開資料於 2026-09-09 的近似值，歷史規律不保證未來重演。日內交易涉及高風險並可能損失全部本金，執行前請以即時報價覆核所有價位並自行評估風險承受能力。</t>
        </is>
      </c>
    </row>
  </sheetData>
  <mergeCells count="15">
    <mergeCell ref="A38:F38"/>
    <mergeCell ref="A2:F2"/>
    <mergeCell ref="A16:F16"/>
    <mergeCell ref="A49:F49"/>
    <mergeCell ref="A51:F51"/>
    <mergeCell ref="A52:F52"/>
    <mergeCell ref="A54:F54"/>
    <mergeCell ref="A1:F1"/>
    <mergeCell ref="A27:F27"/>
    <mergeCell ref="A50:F50"/>
    <mergeCell ref="A4:F4"/>
    <mergeCell ref="A48:F48"/>
    <mergeCell ref="A53:F53"/>
    <mergeCell ref="A55:F55"/>
    <mergeCell ref="A57:F57"/>
  </mergeCells>
  <hyperlinks>
    <hyperlink xmlns:r="http://schemas.openxmlformats.org/officeDocument/2006/relationships" ref="B40" r:id="rId1"/>
    <hyperlink xmlns:r="http://schemas.openxmlformats.org/officeDocument/2006/relationships" ref="B4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16" customWidth="1" min="3" max="3"/>
  </cols>
  <sheetData>
    <row r="1" ht="24" customHeight="1">
      <c r="A1" s="12" t="inlineStr">
        <is>
          <t>資料來源與查核日期</t>
        </is>
      </c>
    </row>
    <row r="2"/>
    <row r="3"/>
    <row r="4" ht="30" customHeight="1">
      <c r="A4" s="3" t="inlineStr">
        <is>
          <t>項目</t>
        </is>
      </c>
      <c r="B4" s="3" t="inlineStr">
        <is>
          <t>來源</t>
        </is>
      </c>
      <c r="C4" s="3" t="inlineStr">
        <is>
          <t>查核日</t>
        </is>
      </c>
    </row>
    <row r="5" ht="30" customHeight="1">
      <c r="A5" s="4" t="inlineStr">
        <is>
          <t>聯邦基金利率 / FOMC</t>
        </is>
      </c>
      <c r="B5" s="4" t="inlineStr">
        <is>
          <t>Federal Reserve — FOMC statement 2026-07-29；H.15 Selected Interest Rates 2026-09-04</t>
        </is>
      </c>
      <c r="C5" s="13" t="inlineStr">
        <is>
          <t>2026-09-09</t>
        </is>
      </c>
    </row>
    <row r="6" ht="30" customHeight="1">
      <c r="A6" s="6" t="inlineStr">
        <is>
          <t>Fed 主席立場</t>
        </is>
      </c>
      <c r="B6" s="6" t="inlineStr">
        <is>
          <t>CNBC / NPR / PBS — Warsh 於 Jackson Hole 2026-08-28 講話；federalreserve.gov 2026-07-14 國會證詞</t>
        </is>
      </c>
      <c r="C6" s="15" t="inlineStr">
        <is>
          <t>2026-09-09</t>
        </is>
      </c>
    </row>
    <row r="7" ht="30" customHeight="1">
      <c r="A7" s="4" t="inlineStr">
        <is>
          <t>CPI</t>
        </is>
      </c>
      <c r="B7" s="4" t="inlineStr">
        <is>
          <t>BLS — Consumer Price Index Summary 2026 M07（7 月頭條 3.4%，核心 2.5%）；8 月數據 2026-09-11 公佈</t>
        </is>
      </c>
      <c r="C7" s="13" t="inlineStr">
        <is>
          <t>2026-09-09</t>
        </is>
      </c>
    </row>
    <row r="8" ht="30" customHeight="1">
      <c r="A8" s="6" t="inlineStr">
        <is>
          <t>標普 500 / 納指水平</t>
        </is>
      </c>
      <c r="B8" s="6" t="inlineStr">
        <is>
          <t>Trading Economics；CNBC 市場報導 2026-09-01 至 2026-09-04</t>
        </is>
      </c>
      <c r="C8" s="15" t="inlineStr">
        <is>
          <t>2026-09-09</t>
        </is>
      </c>
    </row>
    <row r="9" ht="30" customHeight="1">
      <c r="A9" s="4" t="inlineStr">
        <is>
          <t>油價</t>
        </is>
      </c>
      <c r="B9" s="4" t="inlineStr">
        <is>
          <t>Trading Economics（Brent 2026-09-08 = $97.41）；Fortune 每日油價 2026-09-01 至 09-04；Forbes Advisor</t>
        </is>
      </c>
      <c r="C9" s="13" t="inlineStr">
        <is>
          <t>2026-09-09</t>
        </is>
      </c>
    </row>
    <row r="10" ht="30" customHeight="1">
      <c r="A10" s="42" t="inlineStr">
        <is>
          <t>10 年期孳息 / VIX / 黃金</t>
        </is>
      </c>
      <c r="B10" s="6" t="inlineStr">
        <is>
          <t>Trading Economics / FRED / Investing.com</t>
        </is>
      </c>
      <c r="C10" s="15" t="inlineStr">
        <is>
          <t>2026-09-09</t>
        </is>
      </c>
    </row>
    <row r="11" ht="30" customHeight="1">
      <c r="A11" s="4" t="inlineStr">
        <is>
          <t>伊朗戰爭時序</t>
        </is>
      </c>
      <c r="B11" s="4" t="inlineStr">
        <is>
          <t>Britannica《2026 Iran war》；Al Jazeera 2026-09-06；ABC News 現場報導</t>
        </is>
      </c>
      <c r="C11" s="13" t="inlineStr">
        <is>
          <t>2026-09-09</t>
        </is>
      </c>
    </row>
    <row r="12" ht="30" customHeight="1">
      <c r="A12" s="6" t="inlineStr">
        <is>
          <t>AI 資本開支</t>
        </is>
      </c>
      <c r="B12" s="6" t="inlineStr">
        <is>
          <t>MUFG Americas；AL Capital Advisory；CoBank Knowledge Exchange；ValueAdd VC（2026 五大雲廠 $775–800B）</t>
        </is>
      </c>
      <c r="C12" s="15" t="inlineStr">
        <is>
          <t>2026-09-09</t>
        </is>
      </c>
    </row>
    <row r="13" ht="30" customHeight="1">
      <c r="A13" s="4" t="inlineStr">
        <is>
          <t>期中選舉與支持度</t>
        </is>
      </c>
      <c r="B13" s="4" t="inlineStr">
        <is>
          <t>Morgan Stanley；Charles Schwab 2026-08-20；Brookings；Capital Group</t>
        </is>
      </c>
      <c r="C13" s="13" t="inlineStr">
        <is>
          <t>2026-09-09</t>
        </is>
      </c>
    </row>
    <row r="14" ht="30" customHeight="1">
      <c r="A14" s="6" t="inlineStr">
        <is>
          <t>地緣風險框架</t>
        </is>
      </c>
      <c r="B14" s="6" t="inlineStr">
        <is>
          <t>WEF Global Risks Report 2026；BlackRock Geopolitical Risk Dashboard；Wellington；Stimson Center</t>
        </is>
      </c>
      <c r="C14" s="15" t="inlineStr">
        <is>
          <t>2026-09-09</t>
        </is>
      </c>
    </row>
    <row r="15" ht="30" customHeight="1">
      <c r="A15" s="4" t="inlineStr">
        <is>
          <t>歷史週期數據</t>
        </is>
      </c>
      <c r="B15" s="4" t="inlineStr">
        <is>
          <t>作者依公開歷史資料整理（聯邦基金利率、標普 500 回撤、油價衝擊、技術革命週期）</t>
        </is>
      </c>
      <c r="C15" s="13" t="inlineStr">
        <is>
          <t>2026-09-09</t>
        </is>
      </c>
    </row>
  </sheetData>
  <mergeCells count="1">
    <mergeCell ref="A1:C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46" customWidth="1" min="4" max="4"/>
  </cols>
  <sheetData>
    <row r="1" ht="24" customHeight="1">
      <c r="A1" s="12" t="inlineStr">
        <is>
          <t>TradingView 連結索引（本檔案出現過的所有代號）</t>
        </is>
      </c>
    </row>
    <row r="2" ht="32" customHeight="1">
      <c r="A2" s="43" t="inlineStr">
        <is>
          <t>原地已加連結的儲存格：0 個。另有 0 個儲存格同時提及多個代號 —— Excel 不支援在單一儲存格內為部分文字加連結，故該類儲存格不在原地處理，改由本表覆蓋。點擊下方連結即可開啟該代號的 TradingView 圖表。</t>
        </is>
      </c>
    </row>
    <row r="4" ht="20" customHeight="1">
      <c r="A4" s="44" t="inlineStr">
        <is>
          <t>代號</t>
        </is>
      </c>
      <c r="B4" s="44" t="inlineStr">
        <is>
          <t>名稱</t>
        </is>
      </c>
      <c r="C4" s="44" t="inlineStr">
        <is>
          <t>TradingView</t>
        </is>
      </c>
      <c r="D4" s="44" t="inlineStr">
        <is>
          <t>出現位置</t>
        </is>
      </c>
    </row>
    <row r="5" ht="18" customHeight="1">
      <c r="A5" s="77" t="inlineStr">
        <is>
          <t>NVDA</t>
        </is>
      </c>
      <c r="B5" s="78" t="inlineStr">
        <is>
          <t>NVIDIA</t>
        </is>
      </c>
      <c r="C5" s="79" t="inlineStr">
        <is>
          <t>NASDAQ:NVDA</t>
        </is>
      </c>
      <c r="D5" s="48" t="inlineStr">
        <is>
          <t>03_技術革命週期!E46</t>
        </is>
      </c>
    </row>
    <row r="6" ht="18" customHeight="1">
      <c r="A6" s="80" t="inlineStr">
        <is>
          <t>VIX</t>
        </is>
      </c>
      <c r="B6" s="81" t="inlineStr">
        <is>
          <t>CBOE 波動率指數</t>
        </is>
      </c>
      <c r="C6" s="82" t="inlineStr">
        <is>
          <t>CBOE:VIX</t>
        </is>
      </c>
      <c r="D6" s="52" t="inlineStr">
        <is>
          <t>00_現況定位!B13、00_現況定位!B16、04_黑天鵝地緣週期!E22、05_領先指標儀表板!A10、05_領先指標儀表板!A19、06_日內交易劇本!B43 …等 9 處</t>
        </is>
      </c>
    </row>
    <row r="7" ht="18" customHeight="1">
      <c r="A7" s="77" t="inlineStr">
        <is>
          <t>XLE</t>
        </is>
      </c>
      <c r="B7" s="78" t="inlineStr">
        <is>
          <t>能源類股 ETF</t>
        </is>
      </c>
      <c r="C7" s="79" t="inlineStr">
        <is>
          <t>AMEX:XLE</t>
        </is>
      </c>
      <c r="D7" s="48" t="inlineStr">
        <is>
          <t>06_日內交易劇本!E30、06_日內交易劇本!B40</t>
        </is>
      </c>
    </row>
    <row r="8" ht="18" customHeight="1">
      <c r="A8" s="80" t="inlineStr">
        <is>
          <t>GOLD</t>
        </is>
      </c>
      <c r="B8" s="81" t="inlineStr">
        <is>
          <t>黃金現貨</t>
        </is>
      </c>
      <c r="C8" s="82" t="inlineStr">
        <is>
          <t>TVC:GOLD</t>
        </is>
      </c>
      <c r="D8" s="52" t="inlineStr">
        <is>
          <t>05_領先指標儀表板!A12</t>
        </is>
      </c>
    </row>
    <row r="9" ht="18" customHeight="1">
      <c r="A9" s="77" t="inlineStr">
        <is>
          <t>SPX</t>
        </is>
      </c>
      <c r="B9" s="78" t="inlineStr">
        <is>
          <t>標普 500 指數</t>
        </is>
      </c>
      <c r="C9" s="79" t="inlineStr">
        <is>
          <t>SP:SPX</t>
        </is>
      </c>
      <c r="D9" s="48" t="inlineStr">
        <is>
          <t>05_領先指標儀表板!A11</t>
        </is>
      </c>
    </row>
    <row r="10" ht="18" customHeight="1">
      <c r="A10" s="80" t="inlineStr">
        <is>
          <t>UKOIL</t>
        </is>
      </c>
      <c r="B10" s="81" t="inlineStr">
        <is>
          <t>Brent 原油</t>
        </is>
      </c>
      <c r="C10" s="82" t="inlineStr">
        <is>
          <t>TVC:UKOIL</t>
        </is>
      </c>
      <c r="D10" s="52" t="inlineStr">
        <is>
          <t>05_領先指標儀表板!A5、05_領先指標儀表板!A6、05_領先指標儀表板!A13</t>
        </is>
      </c>
    </row>
    <row r="11" ht="18" customHeight="1">
      <c r="A11" s="77" t="inlineStr">
        <is>
          <t>US10Y</t>
        </is>
      </c>
      <c r="B11" s="78" t="inlineStr">
        <is>
          <t>美國 10 年期孳息</t>
        </is>
      </c>
      <c r="C11" s="79" t="inlineStr">
        <is>
          <t>TVC:US10Y</t>
        </is>
      </c>
      <c r="D11" s="48" t="inlineStr">
        <is>
          <t>05_領先指標儀表板!A9</t>
        </is>
      </c>
    </row>
  </sheetData>
  <mergeCells count="2">
    <mergeCell ref="A1:D1"/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2026-09-09T05:52:42Z</dcterms:created>
  <dcterms:modified xmlns:dcterms="http://purl.org/dc/terms/" xmlns:xsi="http://www.w3.org/2001/XMLSchema-instance" xsi:type="dcterms:W3CDTF">2026-09-18T01:44:52Z</dcterms:modified>
</cp:coreProperties>
</file>