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核心答案" sheetId="1" state="visible" r:id="rId1"/>
    <sheet xmlns:r="http://schemas.openxmlformats.org/officeDocument/2006/relationships" name="01_四色定義與公式" sheetId="2" state="visible" r:id="rId2"/>
    <sheet xmlns:r="http://schemas.openxmlformats.org/officeDocument/2006/relationships" name="02_動能量化指標" sheetId="3" state="visible" r:id="rId3"/>
    <sheet xmlns:r="http://schemas.openxmlformats.org/officeDocument/2006/relationships" name="03_背馳量化" sheetId="4" state="visible" r:id="rId4"/>
    <sheet xmlns:r="http://schemas.openxmlformats.org/officeDocument/2006/relationships" name="04_轉勢評分TRS" sheetId="5" state="visible" r:id="rId5"/>
    <sheet xmlns:r="http://schemas.openxmlformats.org/officeDocument/2006/relationships" name="05_實測驗證" sheetId="6" state="visible" r:id="rId6"/>
    <sheet xmlns:r="http://schemas.openxmlformats.org/officeDocument/2006/relationships" name="06_四色柱示意圖" sheetId="7" state="visible" r:id="rId7"/>
    <sheet xmlns:r="http://schemas.openxmlformats.org/officeDocument/2006/relationships" name="07_實戰應用與陷阱" sheetId="8" state="visible" r:id="rId8"/>
    <sheet xmlns:r="http://schemas.openxmlformats.org/officeDocument/2006/relationships" name="08_如何換入真實資料" sheetId="9" state="visible" r:id="rId9"/>
    <sheet xmlns:r="http://schemas.openxmlformats.org/officeDocument/2006/relationships" name="TV_連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FFFFFF"/>
      <sz val="12"/>
    </font>
    <font>
      <b val="1"/>
      <color rgb="00000000"/>
    </font>
    <font>
      <i val="1"/>
      <color rgb="00555555"/>
      <sz val="9"/>
    </font>
    <font>
      <b val="1"/>
      <color rgb="00FFFFFF"/>
      <sz val="14"/>
    </font>
    <font>
      <i val="1"/>
      <color rgb="00999999"/>
    </font>
    <font>
      <b val="1"/>
    </font>
    <font>
      <i val="1"/>
      <color rgb="00595959"/>
      <sz val="9"/>
    </font>
    <font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1E7B34"/>
      </patternFill>
    </fill>
    <fill>
      <patternFill patternType="solid">
        <fgColor rgb="00A9D5A9"/>
      </patternFill>
    </fill>
    <fill>
      <patternFill patternType="solid">
        <fgColor rgb="00F4B7C4"/>
      </patternFill>
    </fill>
    <fill>
      <patternFill patternType="solid">
        <fgColor rgb="00C0304A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A0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4" borderId="1" pivotButton="0" quotePrefix="0" xfId="0"/>
    <xf numFmtId="0" fontId="0" fillId="0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2" fillId="7" borderId="1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1" pivotButton="0" quotePrefix="0" xfId="0"/>
    <xf numFmtId="0" fontId="8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8" fillId="0" borderId="0" pivotButton="0" quotePrefix="0" xfId="0"/>
    <xf numFmtId="0" fontId="6" fillId="2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MACD 柱狀圖四色分解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'06_四色柱示意圖'!B3</f>
            </strRef>
          </tx>
          <spPr>
            <a:solidFill xmlns:a="http://schemas.openxmlformats.org/drawingml/2006/main">
              <a:srgbClr val="1E7B34"/>
            </a:solidFill>
            <a:ln xmlns:a="http://schemas.openxmlformats.org/drawingml/2006/main">
              <a:solidFill>
                <a:srgbClr val="1E7B34"/>
              </a:solidFill>
              <a:prstDash val="solid"/>
            </a:ln>
          </spPr>
          <cat>
            <numRef>
              <f>'06_四色柱示意圖'!$A$4:$A$73</f>
            </numRef>
          </cat>
          <val>
            <numRef>
              <f>'06_四色柱示意圖'!$B$4:$B$73</f>
            </numRef>
          </val>
        </ser>
        <ser>
          <idx val="1"/>
          <order val="1"/>
          <tx>
            <strRef>
              <f>'06_四色柱示意圖'!C3</f>
            </strRef>
          </tx>
          <spPr>
            <a:solidFill xmlns:a="http://schemas.openxmlformats.org/drawingml/2006/main">
              <a:srgbClr val="A9D5A9"/>
            </a:solidFill>
            <a:ln xmlns:a="http://schemas.openxmlformats.org/drawingml/2006/main">
              <a:solidFill>
                <a:srgbClr val="A9D5A9"/>
              </a:solidFill>
              <a:prstDash val="solid"/>
            </a:ln>
          </spPr>
          <cat>
            <numRef>
              <f>'06_四色柱示意圖'!$A$4:$A$73</f>
            </numRef>
          </cat>
          <val>
            <numRef>
              <f>'06_四色柱示意圖'!$C$4:$C$73</f>
            </numRef>
          </val>
        </ser>
        <ser>
          <idx val="2"/>
          <order val="2"/>
          <tx>
            <strRef>
              <f>'06_四色柱示意圖'!D3</f>
            </strRef>
          </tx>
          <spPr>
            <a:solidFill xmlns:a="http://schemas.openxmlformats.org/drawingml/2006/main">
              <a:srgbClr val="F4B7C4"/>
            </a:solidFill>
            <a:ln xmlns:a="http://schemas.openxmlformats.org/drawingml/2006/main">
              <a:solidFill>
                <a:srgbClr val="F4B7C4"/>
              </a:solidFill>
              <a:prstDash val="solid"/>
            </a:ln>
          </spPr>
          <cat>
            <numRef>
              <f>'06_四色柱示意圖'!$A$4:$A$73</f>
            </numRef>
          </cat>
          <val>
            <numRef>
              <f>'06_四色柱示意圖'!$D$4:$D$73</f>
            </numRef>
          </val>
        </ser>
        <ser>
          <idx val="3"/>
          <order val="3"/>
          <tx>
            <strRef>
              <f>'06_四色柱示意圖'!E3</f>
            </strRef>
          </tx>
          <spPr>
            <a:solidFill xmlns:a="http://schemas.openxmlformats.org/drawingml/2006/main">
              <a:srgbClr val="C0304A"/>
            </a:solidFill>
            <a:ln xmlns:a="http://schemas.openxmlformats.org/drawingml/2006/main">
              <a:solidFill>
                <a:srgbClr val="C0304A"/>
              </a:solidFill>
              <a:prstDash val="solid"/>
            </a:ln>
          </spPr>
          <cat>
            <numRef>
              <f>'06_四色柱示意圖'!$A$4:$A$73</f>
            </numRef>
          </cat>
          <val>
            <numRef>
              <f>'06_四色柱示意圖'!$E$4:$E$73</f>
            </numRef>
          </val>
        </ser>
        <gapWidth val="150"/>
        <overlap val="100"/>
        <axId val="10"/>
        <axId val="100"/>
      </barChart>
      <lineChart>
        <grouping val="standard"/>
        <ser>
          <idx val="4"/>
          <order val="4"/>
          <tx>
            <strRef>
              <f>'06_四色柱示意圖'!F3</f>
            </strRef>
          </tx>
          <spPr>
            <a:ln xmlns:a="http://schemas.openxmlformats.org/drawingml/2006/main" w="20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'06_四色柱示意圖'!$F$4:$F$73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柱值 h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收市價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08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MACD 柱狀圖動能量化 — 可以計算，而且分四個層級</t>
        </is>
      </c>
    </row>
    <row r="2"/>
    <row r="3">
      <c r="A3" s="2" t="inlineStr">
        <is>
          <t>結論：可以。柱體 h = DIF − DEA 本身就是數值；「深綠/深粉」只是 h 的一階差分符號，把它還原成數字即可。</t>
        </is>
      </c>
      <c r="B3" s="3" t="n"/>
      <c r="C3" s="3" t="n"/>
      <c r="D3" s="3" t="n"/>
      <c r="E3" s="3" t="n"/>
      <c r="F3" s="3" t="n"/>
      <c r="G3" s="3" t="n"/>
      <c r="H3" s="4" t="n"/>
    </row>
    <row r="4"/>
    <row r="5">
      <c r="A5" s="5" t="inlineStr">
        <is>
          <t>層級</t>
        </is>
      </c>
      <c r="B5" s="5" t="inlineStr">
        <is>
          <t>指標</t>
        </is>
      </c>
      <c r="C5" s="5" t="inlineStr">
        <is>
          <t>公式</t>
        </is>
      </c>
      <c r="D5" s="5" t="inlineStr">
        <is>
          <t>回答什麼問題</t>
        </is>
      </c>
      <c r="E5" s="5" t="inlineStr">
        <is>
          <t>訊號早晚</t>
        </is>
      </c>
      <c r="F5" s="5" t="inlineStr">
        <is>
          <t>假訊號率</t>
        </is>
      </c>
    </row>
    <row r="6">
      <c r="A6" s="2" t="inlineStr">
        <is>
          <t>①</t>
        </is>
      </c>
      <c r="B6" s="2" t="inlineStr">
        <is>
          <t>柱值 h</t>
        </is>
      </c>
      <c r="C6" s="6" t="inlineStr">
        <is>
          <t>h = (DIF − DEA) × 2</t>
        </is>
      </c>
      <c r="D6" s="6" t="inlineStr">
        <is>
          <t>此刻動能有多強（正=多方）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②</t>
        </is>
      </c>
      <c r="B7" s="2" t="inlineStr">
        <is>
          <t>顏色 (四色)</t>
        </is>
      </c>
      <c r="C7" s="6" t="inlineStr">
        <is>
          <t>h 的正負 × h 一階差分的正負</t>
        </is>
      </c>
      <c r="D7" s="6" t="inlineStr">
        <is>
          <t>動能在加速還是衰減</t>
        </is>
      </c>
      <c r="E7" s="2" t="inlineStr">
        <is>
          <t>最早</t>
        </is>
      </c>
      <c r="F7" s="2" t="inlineStr">
        <is>
          <t>很高</t>
        </is>
      </c>
    </row>
    <row r="8">
      <c r="A8" s="2" t="inlineStr">
        <is>
          <t>③</t>
        </is>
      </c>
      <c r="B8" s="2" t="inlineStr">
        <is>
          <t>面積 M / 峰值 H / 密度 D</t>
        </is>
      </c>
      <c r="C8" s="6" t="inlineStr">
        <is>
          <t>M = Σ|h| 於同號區間；H = max|h|；D = M / 根數</t>
        </is>
      </c>
      <c r="D8" s="6" t="inlineStr">
        <is>
          <t>整波推動力有多大、多急</t>
        </is>
      </c>
      <c r="E8" s="2" t="inlineStr">
        <is>
          <t>中</t>
        </is>
      </c>
      <c r="F8" s="2" t="inlineStr">
        <is>
          <t>中</t>
        </is>
      </c>
    </row>
    <row r="9">
      <c r="A9" s="2" t="inlineStr">
        <is>
          <t>④</t>
        </is>
      </c>
      <c r="B9" s="2" t="inlineStr">
        <is>
          <t>背馳強度 DVG</t>
        </is>
      </c>
      <c r="C9" s="6" t="inlineStr">
        <is>
          <t>1 − A₂/A₁ （且價格創新極值）</t>
        </is>
      </c>
      <c r="D9" s="6" t="inlineStr">
        <is>
          <t>價格新高但動能萎縮多少 ← 最有意義</t>
        </is>
      </c>
      <c r="E9" s="2" t="inlineStr">
        <is>
          <t>中</t>
        </is>
      </c>
      <c r="F9" s="2" t="inlineStr">
        <is>
          <t>較低</t>
        </is>
      </c>
    </row>
    <row r="10">
      <c r="A10" s="2" t="inlineStr">
        <is>
          <t>⑤</t>
        </is>
      </c>
      <c r="B10" s="2" t="inlineStr">
        <is>
          <t>轉勢綜合分 TRS</t>
        </is>
      </c>
      <c r="C10" s="6" t="inlineStr">
        <is>
          <t>六項證據加權，0–100</t>
        </is>
      </c>
      <c r="D10" s="6" t="inlineStr">
        <is>
          <t>轉勢走到哪一步</t>
        </is>
      </c>
      <c r="E10" s="2" t="inlineStr">
        <is>
          <t>綜合</t>
        </is>
      </c>
      <c r="F10" s="2" t="inlineStr">
        <is>
          <t>見 05 頁</t>
        </is>
      </c>
    </row>
    <row r="11"/>
    <row r="12">
      <c r="A12" s="7" t="inlineStr">
        <is>
          <t>直接回答：深綠的上升動能數值 / 深粉的下跌動能數值</t>
        </is>
      </c>
    </row>
    <row r="13">
      <c r="A13" s="5" t="inlineStr">
        <is>
          <t>顏色</t>
        </is>
      </c>
      <c r="B13" s="5" t="inlineStr">
        <is>
          <t>含義</t>
        </is>
      </c>
      <c r="C13" s="5" t="inlineStr">
        <is>
          <t>根數</t>
        </is>
      </c>
      <c r="D13" s="5" t="inlineStr">
        <is>
          <t>動能總量 Σ|h|</t>
        </is>
      </c>
      <c r="E13" s="5" t="inlineStr">
        <is>
          <t>佔價格 %</t>
        </is>
      </c>
      <c r="F13" s="5" t="inlineStr">
        <is>
          <t>平均每根</t>
        </is>
      </c>
      <c r="G13" s="5" t="inlineStr">
        <is>
          <t>最大單根</t>
        </is>
      </c>
    </row>
    <row r="14">
      <c r="A14" s="8" t="inlineStr">
        <is>
          <t>深綠</t>
        </is>
      </c>
      <c r="B14" s="9" t="inlineStr">
        <is>
          <t>上升動能加速（h&gt;0 且變大）</t>
        </is>
      </c>
      <c r="C14" s="9" t="n">
        <v>68</v>
      </c>
      <c r="D14" s="9" t="n">
        <v>26.322</v>
      </c>
      <c r="E14" s="9" t="n">
        <v>20.29</v>
      </c>
      <c r="F14" s="9" t="n">
        <v>0.3871</v>
      </c>
      <c r="G14" s="9" t="n">
        <v>1.1039</v>
      </c>
    </row>
    <row r="15">
      <c r="A15" s="10" t="inlineStr">
        <is>
          <t>淺綠</t>
        </is>
      </c>
      <c r="B15" s="9" t="inlineStr">
        <is>
          <t>上升動能衰減（h&gt;0 但變小）</t>
        </is>
      </c>
      <c r="C15" s="9" t="n">
        <v>73</v>
      </c>
      <c r="D15" s="9" t="n">
        <v>24.779</v>
      </c>
      <c r="E15" s="9" t="n">
        <v>19.1</v>
      </c>
      <c r="F15" s="9" t="n">
        <v>0.3394</v>
      </c>
      <c r="G15" s="9" t="n">
        <v>1.0499</v>
      </c>
    </row>
    <row r="16">
      <c r="A16" s="11" t="inlineStr">
        <is>
          <t>淺紅</t>
        </is>
      </c>
      <c r="B16" s="9" t="inlineStr">
        <is>
          <t>下跌動能衰減（h&lt;0 但收窄）</t>
        </is>
      </c>
      <c r="C16" s="9" t="n">
        <v>53</v>
      </c>
      <c r="D16" s="9" t="n">
        <v>37.693</v>
      </c>
      <c r="E16" s="9" t="n">
        <v>29.05</v>
      </c>
      <c r="F16" s="9" t="n">
        <v>0.7112000000000001</v>
      </c>
      <c r="G16" s="9" t="n">
        <v>1.654</v>
      </c>
    </row>
    <row r="17">
      <c r="A17" s="12" t="inlineStr">
        <is>
          <t>深紅</t>
        </is>
      </c>
      <c r="B17" s="9" t="inlineStr">
        <is>
          <t>下跌動能加速（h&lt;0 且變大）</t>
        </is>
      </c>
      <c r="C17" s="9" t="n">
        <v>65</v>
      </c>
      <c r="D17" s="9" t="n">
        <v>38.461</v>
      </c>
      <c r="E17" s="9" t="n">
        <v>29.64</v>
      </c>
      <c r="F17" s="9" t="n">
        <v>0.5917</v>
      </c>
      <c r="G17" s="9" t="n">
        <v>1.707</v>
      </c>
    </row>
    <row r="18"/>
    <row r="19">
      <c r="A19" s="2" t="inlineStr">
        <is>
          <t>動能純度（多方）</t>
        </is>
      </c>
      <c r="B19" s="2" t="inlineStr">
        <is>
          <t>51.5%</t>
        </is>
      </c>
      <c r="C19" s="6" t="inlineStr">
        <is>
          <t>深綠 ÷ (深綠+淺綠)。&gt;65% 趨勢健康；&lt;45% 是蠕動不是趨勢</t>
        </is>
      </c>
    </row>
    <row r="20">
      <c r="A20" s="2" t="inlineStr">
        <is>
          <t>動能純度（空方）</t>
        </is>
      </c>
      <c r="B20" s="2" t="inlineStr">
        <is>
          <t>50.5%</t>
        </is>
      </c>
      <c r="C20" s="6" t="inlineStr">
        <is>
          <t>深紅 ÷ (深紅+淺紅)</t>
        </is>
      </c>
    </row>
    <row r="21">
      <c r="A21" s="2" t="inlineStr">
        <is>
          <t>多空動能比</t>
        </is>
      </c>
      <c r="B21" s="2" t="inlineStr">
        <is>
          <t>0.67</t>
        </is>
      </c>
      <c r="C21" s="6" t="inlineStr">
        <is>
          <t>&gt;1 多方主導；&lt;1 空方主導</t>
        </is>
      </c>
    </row>
    <row r="22" ht="30" customHeight="1">
      <c r="A22" s="13" t="inlineStr">
        <is>
          <t>以上數值取自本檔內建的合成驗證資料（見 05 頁），用作示範計算，不是任何真實標的的讀數。換入自己的資料後數字會全部改變。</t>
        </is>
      </c>
    </row>
  </sheetData>
  <mergeCells count="4">
    <mergeCell ref="A12:H12"/>
    <mergeCell ref="A3:H3"/>
    <mergeCell ref="A22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46" customWidth="1" min="5" max="5"/>
  </cols>
  <sheetData>
    <row r="1">
      <c r="A1" s="14" t="inlineStr">
        <is>
          <t>四色柱的嚴格定義</t>
        </is>
      </c>
    </row>
    <row r="2">
      <c r="A2" s="5" t="inlineStr">
        <is>
          <t>顏色</t>
        </is>
      </c>
      <c r="B2" s="5" t="inlineStr">
        <is>
          <t>條件</t>
        </is>
      </c>
      <c r="C2" s="5" t="inlineStr">
        <is>
          <t>數學意義</t>
        </is>
      </c>
      <c r="D2" s="5" t="inlineStr">
        <is>
          <t>對應價格</t>
        </is>
      </c>
      <c r="E2" s="5" t="inlineStr">
        <is>
          <t>交易含義</t>
        </is>
      </c>
    </row>
    <row r="3">
      <c r="A3" s="2" t="inlineStr">
        <is>
          <t>深綠</t>
        </is>
      </c>
      <c r="B3" s="2" t="inlineStr">
        <is>
          <t>h &gt; 0 且 h ≥ h₋₁</t>
        </is>
      </c>
      <c r="C3" s="6" t="inlineStr">
        <is>
          <t>h 正、Δh 正：動能二階為正</t>
        </is>
      </c>
      <c r="D3" s="6" t="inlineStr">
        <is>
          <t>升勢且加速</t>
        </is>
      </c>
      <c r="E3" s="6" t="inlineStr">
        <is>
          <t>持有／順勢加碼，最安全的一段</t>
        </is>
      </c>
    </row>
    <row r="4">
      <c r="A4" s="2" t="inlineStr">
        <is>
          <t>淺綠</t>
        </is>
      </c>
      <c r="B4" s="2" t="inlineStr">
        <is>
          <t>h &gt; 0 且 h &lt; h₋₁</t>
        </is>
      </c>
      <c r="C4" s="6" t="inlineStr">
        <is>
          <t>h 正、Δh 負：動能開始衰減</t>
        </is>
      </c>
      <c r="D4" s="6" t="inlineStr">
        <is>
          <t>仍在升，但變慢</t>
        </is>
      </c>
      <c r="E4" s="6" t="inlineStr">
        <is>
          <t>頂部第一預警。不等於轉勢，可能只是整理</t>
        </is>
      </c>
    </row>
    <row r="5">
      <c r="A5" s="2" t="inlineStr">
        <is>
          <t>淺紅</t>
        </is>
      </c>
      <c r="B5" s="2" t="inlineStr">
        <is>
          <t>h &lt; 0 且 h ≥ h₋₁</t>
        </is>
      </c>
      <c r="C5" s="6" t="inlineStr">
        <is>
          <t>h 負、Δh 正：跌勢收窄</t>
        </is>
      </c>
      <c r="D5" s="6" t="inlineStr">
        <is>
          <t>仍在跌，但變慢</t>
        </is>
      </c>
      <c r="E5" s="6" t="inlineStr">
        <is>
          <t>底部第一預警。抄底最早的線索，也最容易被套</t>
        </is>
      </c>
    </row>
    <row r="6">
      <c r="A6" s="2" t="inlineStr">
        <is>
          <t>深紅</t>
        </is>
      </c>
      <c r="B6" s="2" t="inlineStr">
        <is>
          <t>h &lt; 0 且 h &lt; h₋₁</t>
        </is>
      </c>
      <c r="C6" s="6" t="inlineStr">
        <is>
          <t>h 負、Δh 負：下跌加速</t>
        </is>
      </c>
      <c r="D6" s="6" t="inlineStr">
        <is>
          <t>跌勢且加速</t>
        </is>
      </c>
      <c r="E6" s="6" t="inlineStr">
        <is>
          <t>空方主導，不接飛刀</t>
        </is>
      </c>
    </row>
    <row r="7"/>
    <row r="8">
      <c r="A8" s="7" t="inlineStr">
        <is>
          <t>為什麼顏色比均線交叉早</t>
        </is>
      </c>
    </row>
    <row r="9">
      <c r="A9" s="2" t="inlineStr">
        <is>
          <t>價格 P</t>
        </is>
      </c>
      <c r="B9" s="2" t="inlineStr">
        <is>
          <t>0 階</t>
        </is>
      </c>
      <c r="C9" s="2" t="inlineStr">
        <is>
          <t>—</t>
        </is>
      </c>
    </row>
    <row r="10">
      <c r="A10" s="2" t="inlineStr">
        <is>
          <t>DIF = EMA₁₂ − EMA₂₆</t>
        </is>
      </c>
      <c r="B10" s="2" t="inlineStr">
        <is>
          <t>≈ 1 階（速度）</t>
        </is>
      </c>
      <c r="C10" s="2" t="inlineStr">
        <is>
          <t>價格的變化率</t>
        </is>
      </c>
    </row>
    <row r="11">
      <c r="A11" s="2" t="inlineStr">
        <is>
          <t>h = DIF − DEA</t>
        </is>
      </c>
      <c r="B11" s="2" t="inlineStr">
        <is>
          <t>≈ 2 階（加速度）</t>
        </is>
      </c>
      <c r="C11" s="2" t="inlineStr">
        <is>
          <t>DIF 相對自身均線的偏離</t>
        </is>
      </c>
    </row>
    <row r="12">
      <c r="A12" s="2" t="inlineStr">
        <is>
          <t>顏色 = sign(Δh)</t>
        </is>
      </c>
      <c r="B12" s="2" t="inlineStr">
        <is>
          <t>≈ 3 階（加加速度）</t>
        </is>
      </c>
      <c r="C12" s="2" t="inlineStr">
        <is>
          <t>最早，也最吵</t>
        </is>
      </c>
    </row>
    <row r="13" ht="30" customHeight="1">
      <c r="A13" s="13" t="inlineStr">
        <is>
          <t>訊號序列固定為：深綠→淺綠（最早，假訊號最多）→ 柱體翻負（DIF 跌穿 DEA）→ DIF 跌穿零軸（最遲，最可靠）。愈早的訊號必須用愈嚴的過濾條件，否則在震盪巿會被反覆打臉。</t>
        </is>
      </c>
    </row>
    <row r="14"/>
    <row r="15">
      <c r="A15" s="7" t="inlineStr">
        <is>
          <t>MACD 參數（日內必須縮短，經典 12/26/9 在 5 分鐘圖上慢到沒有交易價值）</t>
        </is>
      </c>
    </row>
    <row r="16">
      <c r="A16" s="5" t="inlineStr">
        <is>
          <t>週期</t>
        </is>
      </c>
      <c r="B16" s="5" t="inlineStr">
        <is>
          <t>fast</t>
        </is>
      </c>
      <c r="C16" s="5" t="inlineStr">
        <is>
          <t>slow</t>
        </is>
      </c>
      <c r="D16" s="5" t="inlineStr">
        <is>
          <t>signal</t>
        </is>
      </c>
      <c r="E16" s="5" t="inlineStr">
        <is>
          <t>說明</t>
        </is>
      </c>
    </row>
    <row r="17">
      <c r="A17" s="2" t="inlineStr">
        <is>
          <t>日線 / 週線</t>
        </is>
      </c>
      <c r="B17" s="2" t="n">
        <v>12</v>
      </c>
      <c r="C17" s="2" t="n">
        <v>26</v>
      </c>
      <c r="D17" s="2" t="n">
        <v>9</v>
      </c>
      <c r="E17" s="6" t="inlineStr">
        <is>
          <t>經典值，適合波段</t>
        </is>
      </c>
    </row>
    <row r="18">
      <c r="A18" s="2" t="inlineStr">
        <is>
          <t>1 小時</t>
        </is>
      </c>
      <c r="B18" s="2" t="n">
        <v>12</v>
      </c>
      <c r="C18" s="2" t="n">
        <v>26</v>
      </c>
      <c r="D18" s="2" t="n">
        <v>9</v>
      </c>
      <c r="E18" s="6" t="inlineStr">
        <is>
          <t>仍可用經典值</t>
        </is>
      </c>
    </row>
    <row r="19">
      <c r="A19" s="2" t="inlineStr">
        <is>
          <t>15 分鐘</t>
        </is>
      </c>
      <c r="B19" s="2" t="n">
        <v>8</v>
      </c>
      <c r="C19" s="2" t="n">
        <v>17</v>
      </c>
      <c r="D19" s="2" t="n">
        <v>9</v>
      </c>
      <c r="E19" s="6" t="inlineStr">
        <is>
          <t>日內中速</t>
        </is>
      </c>
    </row>
    <row r="20">
      <c r="A20" s="2" t="inlineStr">
        <is>
          <t>5 分鐘</t>
        </is>
      </c>
      <c r="B20" s="2" t="n">
        <v>5</v>
      </c>
      <c r="C20" s="2" t="n">
        <v>13</v>
      </c>
      <c r="D20" s="2" t="n">
        <v>5</v>
      </c>
      <c r="E20" s="6" t="inlineStr">
        <is>
          <t>日內主力參數</t>
        </is>
      </c>
    </row>
    <row r="21">
      <c r="A21" s="2" t="inlineStr">
        <is>
          <t>1 分鐘</t>
        </is>
      </c>
      <c r="B21" s="2" t="n">
        <v>5</v>
      </c>
      <c r="C21" s="2" t="n">
        <v>13</v>
      </c>
      <c r="D21" s="2" t="n">
        <v>5</v>
      </c>
      <c r="E21" s="6" t="inlineStr">
        <is>
          <t>雜訊極高，顏色訊號幾乎不可單獨使用</t>
        </is>
      </c>
    </row>
  </sheetData>
  <mergeCells count="4">
    <mergeCell ref="A8:F8"/>
    <mergeCell ref="A13:H13"/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4" t="inlineStr">
        <is>
          <t>把一整波的動能變成一個數字</t>
        </is>
      </c>
    </row>
    <row r="2">
      <c r="A2" s="5" t="inlineStr">
        <is>
          <t>指標</t>
        </is>
      </c>
      <c r="B2" s="5" t="inlineStr">
        <is>
          <t>符號</t>
        </is>
      </c>
      <c r="C2" s="5" t="inlineStr">
        <is>
          <t>公式</t>
        </is>
      </c>
      <c r="D2" s="5" t="inlineStr">
        <is>
          <t>解讀</t>
        </is>
      </c>
      <c r="E2" s="5" t="inlineStr">
        <is>
          <t>門檻建議</t>
        </is>
      </c>
    </row>
    <row r="3">
      <c r="A3" s="2" t="inlineStr">
        <is>
          <t>動能面積</t>
        </is>
      </c>
      <c r="B3" s="2" t="inlineStr">
        <is>
          <t>M</t>
        </is>
      </c>
      <c r="C3" s="6" t="inlineStr">
        <is>
          <t>M = Σ|hₜ|，t 遍歷同號連續區間</t>
        </is>
      </c>
      <c r="D3" s="6" t="inlineStr">
        <is>
          <t>整波推動力的總量。可跨波比較，是背馳的基礎</t>
        </is>
      </c>
      <c r="E3" s="6" t="inlineStr">
        <is>
          <t>無絕對門檻，只比相對值</t>
        </is>
      </c>
    </row>
    <row r="4">
      <c r="A4" s="2" t="inlineStr">
        <is>
          <t>標準化面積</t>
        </is>
      </c>
      <c r="B4" s="2" t="inlineStr">
        <is>
          <t>M%</t>
        </is>
      </c>
      <c r="C4" s="6" t="inlineStr">
        <is>
          <t>M% = M ÷ 平均價 × 100</t>
        </is>
      </c>
      <c r="D4" s="6" t="inlineStr">
        <is>
          <t>去掉價位影響，讓不同標的可比</t>
        </is>
      </c>
      <c r="E4" s="6" t="inlineStr">
        <is>
          <t>同上</t>
        </is>
      </c>
    </row>
    <row r="5">
      <c r="A5" s="2" t="inlineStr">
        <is>
          <t>動能峰值</t>
        </is>
      </c>
      <c r="B5" s="2" t="inlineStr">
        <is>
          <t>H</t>
        </is>
      </c>
      <c r="C5" s="6" t="inlineStr">
        <is>
          <t>H = max|hₜ|</t>
        </is>
      </c>
      <c r="D5" s="6" t="inlineStr">
        <is>
          <t>這一波最猛的一刻有多猛</t>
        </is>
      </c>
      <c r="E5" s="6" t="inlineStr">
        <is>
          <t>同上</t>
        </is>
      </c>
    </row>
    <row r="6">
      <c r="A6" s="2" t="inlineStr">
        <is>
          <t>峰值位置</t>
        </is>
      </c>
      <c r="B6" s="2" t="inlineStr">
        <is>
          <t>—</t>
        </is>
      </c>
      <c r="C6" s="6" t="inlineStr">
        <is>
          <t>峰值出現在第幾根</t>
        </is>
      </c>
      <c r="D6" s="6" t="inlineStr">
        <is>
          <t>前段見峰=衝高回落；後段見峰=推升有力</t>
        </is>
      </c>
      <c r="E6" s="6" t="inlineStr">
        <is>
          <t>峰值在前 1/3 = 續航力弱</t>
        </is>
      </c>
    </row>
    <row r="7">
      <c r="A7" s="2" t="inlineStr">
        <is>
          <t>動能密度</t>
        </is>
      </c>
      <c r="B7" s="2" t="inlineStr">
        <is>
          <t>D</t>
        </is>
      </c>
      <c r="C7" s="6" t="inlineStr">
        <is>
          <t>D = M ÷ 根數</t>
        </is>
      </c>
      <c r="D7" s="6" t="inlineStr">
        <is>
          <t>急升急跌 vs 慢牛慢熊</t>
        </is>
      </c>
      <c r="E7" s="6" t="inlineStr">
        <is>
          <t>D 高=情緒盤，回撤大</t>
        </is>
      </c>
    </row>
    <row r="8">
      <c r="A8" s="2" t="inlineStr">
        <is>
          <t>衰減率</t>
        </is>
      </c>
      <c r="B8" s="2" t="inlineStr">
        <is>
          <t>λ</t>
        </is>
      </c>
      <c r="C8" s="6" t="inlineStr">
        <is>
          <t>λ = (至今峰值 − 現值) ÷ 至今峰值</t>
        </is>
      </c>
      <c r="D8" s="6" t="inlineStr">
        <is>
          <t>本波動能已耗掉幾成。λ∈[0,1]</t>
        </is>
      </c>
      <c r="E8" s="6" t="inlineStr">
        <is>
          <t>λ&lt;0.3 仍強；0.3–0.6 警戒；&gt;0.6 基本耗盡</t>
        </is>
      </c>
    </row>
    <row r="9">
      <c r="A9" s="2" t="inlineStr">
        <is>
          <t>動能純度</t>
        </is>
      </c>
      <c r="B9" s="2" t="inlineStr">
        <is>
          <t>—</t>
        </is>
      </c>
      <c r="C9" s="6" t="inlineStr">
        <is>
          <t>深色動能 ÷ (深色+淺色)</t>
        </is>
      </c>
      <c r="D9" s="6" t="inlineStr">
        <is>
          <t>趨勢是推動還是蠕動</t>
        </is>
      </c>
      <c r="E9" s="6" t="inlineStr">
        <is>
          <t>&gt;0.65 健康；&lt;0.45 不宜追</t>
        </is>
      </c>
    </row>
    <row r="10" ht="30" customHeight="1">
      <c r="A10" s="13" t="inlineStr">
        <is>
          <t>λ 一定要用「至今為止的峰值」(cummax) 而非整波峰值。用整波峰值等於偷看未來，回測會漂亮、實盤會失效 —— 這是動能指標最常見的未來函數陷阱。</t>
        </is>
      </c>
    </row>
    <row r="11"/>
    <row r="12"/>
    <row r="13">
      <c r="A13" s="7" t="inlineStr">
        <is>
          <t>示範：合成資料切出的動能波（雜訊波已標示，不參與背馳比較）</t>
        </is>
      </c>
    </row>
    <row r="14">
      <c r="A14" s="5" t="inlineStr">
        <is>
          <t>波</t>
        </is>
      </c>
      <c r="B14" s="5" t="inlineStr">
        <is>
          <t>方向</t>
        </is>
      </c>
      <c r="C14" s="5" t="inlineStr">
        <is>
          <t>級別</t>
        </is>
      </c>
      <c r="D14" s="5" t="inlineStr">
        <is>
          <t>柱數</t>
        </is>
      </c>
      <c r="E14" s="5" t="inlineStr">
        <is>
          <t>面積 M</t>
        </is>
      </c>
      <c r="F14" s="5" t="inlineStr">
        <is>
          <t>M%</t>
        </is>
      </c>
      <c r="G14" s="5" t="inlineStr">
        <is>
          <t>峰值 H</t>
        </is>
      </c>
      <c r="H14" s="5" t="inlineStr">
        <is>
          <t>峰值位置</t>
        </is>
      </c>
      <c r="I14" s="5" t="inlineStr">
        <is>
          <t>密度 D</t>
        </is>
      </c>
      <c r="J14" s="5" t="inlineStr">
        <is>
          <t>深色根數</t>
        </is>
      </c>
      <c r="K14" s="5" t="inlineStr">
        <is>
          <t>淺色根數</t>
        </is>
      </c>
      <c r="L14" s="5" t="inlineStr">
        <is>
          <t>價格極值</t>
        </is>
      </c>
    </row>
    <row r="15">
      <c r="A15" s="9" t="n">
        <v>2</v>
      </c>
      <c r="B15" s="9" t="inlineStr">
        <is>
          <t>綠波 (多)</t>
        </is>
      </c>
      <c r="C15" s="9" t="inlineStr">
        <is>
          <t>主波</t>
        </is>
      </c>
      <c r="D15" s="9" t="n">
        <v>60</v>
      </c>
      <c r="E15" s="9" t="n">
        <v>30.575</v>
      </c>
      <c r="F15" s="9" t="n">
        <v>26.2</v>
      </c>
      <c r="G15" s="9" t="n">
        <v>1.104</v>
      </c>
      <c r="H15" s="9" t="n">
        <v>12</v>
      </c>
      <c r="I15" s="9" t="n">
        <v>0.51</v>
      </c>
      <c r="J15" s="9" t="n">
        <v>29</v>
      </c>
      <c r="K15" s="9" t="n">
        <v>31</v>
      </c>
      <c r="L15" s="9" t="n">
        <v>133.09</v>
      </c>
    </row>
    <row r="16">
      <c r="A16" s="9" t="n">
        <v>3</v>
      </c>
      <c r="B16" s="9" t="inlineStr">
        <is>
          <t>紅波 (空)</t>
        </is>
      </c>
      <c r="C16" s="9" t="inlineStr">
        <is>
          <t>主波</t>
        </is>
      </c>
      <c r="D16" s="9" t="n">
        <v>5</v>
      </c>
      <c r="E16" s="9" t="n">
        <v>0.22</v>
      </c>
      <c r="F16" s="9" t="n">
        <v>0.16</v>
      </c>
      <c r="G16" s="9" t="n">
        <v>0.079</v>
      </c>
      <c r="H16" s="9" t="n">
        <v>4</v>
      </c>
      <c r="I16" s="9" t="n">
        <v>0.044</v>
      </c>
      <c r="J16" s="9" t="n">
        <v>3</v>
      </c>
      <c r="K16" s="9" t="n">
        <v>2</v>
      </c>
      <c r="L16" s="9" t="n">
        <v>133.34</v>
      </c>
    </row>
    <row r="17">
      <c r="A17" s="15" t="n">
        <v>4</v>
      </c>
      <c r="B17" s="15" t="inlineStr">
        <is>
          <t>綠波 (多)</t>
        </is>
      </c>
      <c r="C17" s="15" t="inlineStr">
        <is>
          <t>雜訊波</t>
        </is>
      </c>
      <c r="D17" s="15" t="n">
        <v>2</v>
      </c>
      <c r="E17" s="15" t="n">
        <v>0.117</v>
      </c>
      <c r="F17" s="15" t="n">
        <v>0.09</v>
      </c>
      <c r="G17" s="15" t="n">
        <v>0.091</v>
      </c>
      <c r="H17" s="15" t="n">
        <v>2</v>
      </c>
      <c r="I17" s="15" t="n">
        <v>0.059</v>
      </c>
      <c r="J17" s="15" t="n">
        <v>2</v>
      </c>
      <c r="K17" s="15" t="n">
        <v>0</v>
      </c>
      <c r="L17" s="15" t="n">
        <v>137.37</v>
      </c>
    </row>
    <row r="18">
      <c r="A18" s="15" t="n">
        <v>5</v>
      </c>
      <c r="B18" s="15" t="inlineStr">
        <is>
          <t>紅波 (空)</t>
        </is>
      </c>
      <c r="C18" s="15" t="inlineStr">
        <is>
          <t>雜訊波</t>
        </is>
      </c>
      <c r="D18" s="15" t="n">
        <v>2</v>
      </c>
      <c r="E18" s="15" t="n">
        <v>0.062</v>
      </c>
      <c r="F18" s="15" t="n">
        <v>0.05</v>
      </c>
      <c r="G18" s="15" t="n">
        <v>0.048</v>
      </c>
      <c r="H18" s="15" t="n">
        <v>2</v>
      </c>
      <c r="I18" s="15" t="n">
        <v>0.031</v>
      </c>
      <c r="J18" s="15" t="n">
        <v>2</v>
      </c>
      <c r="K18" s="15" t="n">
        <v>0</v>
      </c>
      <c r="L18" s="15" t="n">
        <v>136.8</v>
      </c>
    </row>
    <row r="19">
      <c r="A19" s="15" t="n">
        <v>6</v>
      </c>
      <c r="B19" s="15" t="inlineStr">
        <is>
          <t>綠波 (多)</t>
        </is>
      </c>
      <c r="C19" s="15" t="inlineStr">
        <is>
          <t>雜訊波</t>
        </is>
      </c>
      <c r="D19" s="15" t="n">
        <v>1</v>
      </c>
      <c r="E19" s="15" t="n">
        <v>0.017</v>
      </c>
      <c r="F19" s="15" t="n">
        <v>0.01</v>
      </c>
      <c r="G19" s="15" t="n">
        <v>0.017</v>
      </c>
      <c r="H19" s="15" t="n">
        <v>1</v>
      </c>
      <c r="I19" s="15" t="n">
        <v>0.017</v>
      </c>
      <c r="J19" s="15" t="n">
        <v>1</v>
      </c>
      <c r="K19" s="15" t="n">
        <v>0</v>
      </c>
      <c r="L19" s="15" t="n">
        <v>138.79</v>
      </c>
    </row>
    <row r="20">
      <c r="A20" s="9" t="n">
        <v>7</v>
      </c>
      <c r="B20" s="9" t="inlineStr">
        <is>
          <t>紅波 (空)</t>
        </is>
      </c>
      <c r="C20" s="9" t="inlineStr">
        <is>
          <t>主波</t>
        </is>
      </c>
      <c r="D20" s="9" t="n">
        <v>35</v>
      </c>
      <c r="E20" s="9" t="n">
        <v>37.937</v>
      </c>
      <c r="F20" s="9" t="n">
        <v>28.46</v>
      </c>
      <c r="G20" s="9" t="n">
        <v>1.707</v>
      </c>
      <c r="H20" s="9" t="n">
        <v>15</v>
      </c>
      <c r="I20" s="9" t="n">
        <v>1.084</v>
      </c>
      <c r="J20" s="9" t="n">
        <v>18</v>
      </c>
      <c r="K20" s="9" t="n">
        <v>17</v>
      </c>
      <c r="L20" s="9" t="n">
        <v>128.88</v>
      </c>
    </row>
    <row r="21">
      <c r="A21" s="9" t="n">
        <v>8</v>
      </c>
      <c r="B21" s="9" t="inlineStr">
        <is>
          <t>綠波 (多)</t>
        </is>
      </c>
      <c r="C21" s="9" t="inlineStr">
        <is>
          <t>主波</t>
        </is>
      </c>
      <c r="D21" s="9" t="n">
        <v>50</v>
      </c>
      <c r="E21" s="9" t="n">
        <v>18.904</v>
      </c>
      <c r="F21" s="9" t="n">
        <v>13.89</v>
      </c>
      <c r="G21" s="9" t="n">
        <v>0.733</v>
      </c>
      <c r="H21" s="9" t="n">
        <v>13</v>
      </c>
      <c r="I21" s="9" t="n">
        <v>0.378</v>
      </c>
      <c r="J21" s="9" t="n">
        <v>20</v>
      </c>
      <c r="K21" s="9" t="n">
        <v>30</v>
      </c>
      <c r="L21" s="9" t="n">
        <v>141.47</v>
      </c>
    </row>
    <row r="22">
      <c r="A22" s="15" t="n">
        <v>9</v>
      </c>
      <c r="B22" s="15" t="inlineStr">
        <is>
          <t>紅波 (空)</t>
        </is>
      </c>
      <c r="C22" s="15" t="inlineStr">
        <is>
          <t>雜訊波</t>
        </is>
      </c>
      <c r="D22" s="15" t="n">
        <v>2</v>
      </c>
      <c r="E22" s="15" t="n">
        <v>0.044</v>
      </c>
      <c r="F22" s="15" t="n">
        <v>0.03</v>
      </c>
      <c r="G22" s="15" t="n">
        <v>0.025</v>
      </c>
      <c r="H22" s="15" t="n">
        <v>2</v>
      </c>
      <c r="I22" s="15" t="n">
        <v>0.022</v>
      </c>
      <c r="J22" s="15" t="n">
        <v>2</v>
      </c>
      <c r="K22" s="15" t="n">
        <v>0</v>
      </c>
      <c r="L22" s="15" t="n">
        <v>141.2</v>
      </c>
    </row>
    <row r="23">
      <c r="A23" s="9" t="n">
        <v>10</v>
      </c>
      <c r="B23" s="9" t="inlineStr">
        <is>
          <t>綠波 (多)</t>
        </is>
      </c>
      <c r="C23" s="9" t="inlineStr">
        <is>
          <t>主波</t>
        </is>
      </c>
      <c r="D23" s="9" t="n">
        <v>8</v>
      </c>
      <c r="E23" s="9" t="n">
        <v>0.487</v>
      </c>
      <c r="F23" s="9" t="n">
        <v>0.34</v>
      </c>
      <c r="G23" s="9" t="n">
        <v>0.15</v>
      </c>
      <c r="H23" s="9" t="n">
        <v>5</v>
      </c>
      <c r="I23" s="9" t="n">
        <v>0.061</v>
      </c>
      <c r="J23" s="9" t="n">
        <v>3</v>
      </c>
      <c r="K23" s="9" t="n">
        <v>5</v>
      </c>
      <c r="L23" s="9" t="n">
        <v>143.77</v>
      </c>
    </row>
    <row r="24">
      <c r="A24" s="15" t="n">
        <v>11</v>
      </c>
      <c r="B24" s="15" t="inlineStr">
        <is>
          <t>紅波 (空)</t>
        </is>
      </c>
      <c r="C24" s="15" t="inlineStr">
        <is>
          <t>雜訊波</t>
        </is>
      </c>
      <c r="D24" s="15" t="n">
        <v>1</v>
      </c>
      <c r="E24" s="15" t="n">
        <v>0.07199999999999999</v>
      </c>
      <c r="F24" s="15" t="n">
        <v>0.05</v>
      </c>
      <c r="G24" s="15" t="n">
        <v>0.07199999999999999</v>
      </c>
      <c r="H24" s="15" t="n">
        <v>1</v>
      </c>
      <c r="I24" s="15" t="n">
        <v>0.07199999999999999</v>
      </c>
      <c r="J24" s="15" t="n">
        <v>1</v>
      </c>
      <c r="K24" s="15" t="n">
        <v>0</v>
      </c>
      <c r="L24" s="15" t="n">
        <v>143.23</v>
      </c>
    </row>
    <row r="25">
      <c r="A25" s="9" t="n">
        <v>12</v>
      </c>
      <c r="B25" s="9" t="inlineStr">
        <is>
          <t>綠波 (多)</t>
        </is>
      </c>
      <c r="C25" s="9" t="inlineStr">
        <is>
          <t>主波</t>
        </is>
      </c>
      <c r="D25" s="9" t="n">
        <v>7</v>
      </c>
      <c r="E25" s="9" t="n">
        <v>0.277</v>
      </c>
      <c r="F25" s="9" t="n">
        <v>0.19</v>
      </c>
      <c r="G25" s="9" t="n">
        <v>0.064</v>
      </c>
      <c r="H25" s="9" t="n">
        <v>5</v>
      </c>
      <c r="I25" s="9" t="n">
        <v>0.04</v>
      </c>
      <c r="J25" s="9" t="n">
        <v>5</v>
      </c>
      <c r="K25" s="9" t="n">
        <v>2</v>
      </c>
      <c r="L25" s="9" t="n">
        <v>145.5</v>
      </c>
    </row>
    <row r="26">
      <c r="A26" s="15" t="n">
        <v>13</v>
      </c>
      <c r="B26" s="15" t="inlineStr">
        <is>
          <t>紅波 (空)</t>
        </is>
      </c>
      <c r="C26" s="15" t="inlineStr">
        <is>
          <t>雜訊波</t>
        </is>
      </c>
      <c r="D26" s="15" t="n">
        <v>2</v>
      </c>
      <c r="E26" s="15" t="n">
        <v>0.083</v>
      </c>
      <c r="F26" s="15" t="n">
        <v>0.06</v>
      </c>
      <c r="G26" s="15" t="n">
        <v>0.061</v>
      </c>
      <c r="H26" s="15" t="n">
        <v>2</v>
      </c>
      <c r="I26" s="15" t="n">
        <v>0.041</v>
      </c>
      <c r="J26" s="15" t="n">
        <v>2</v>
      </c>
      <c r="K26" s="15" t="n">
        <v>0</v>
      </c>
      <c r="L26" s="15" t="n">
        <v>145.28</v>
      </c>
    </row>
    <row r="27">
      <c r="A27" s="9" t="n">
        <v>14</v>
      </c>
      <c r="B27" s="9" t="inlineStr">
        <is>
          <t>綠波 (多)</t>
        </is>
      </c>
      <c r="C27" s="9" t="inlineStr">
        <is>
          <t>主波</t>
        </is>
      </c>
      <c r="D27" s="9" t="n">
        <v>5</v>
      </c>
      <c r="E27" s="9" t="n">
        <v>0.246</v>
      </c>
      <c r="F27" s="9" t="n">
        <v>0.17</v>
      </c>
      <c r="G27" s="9" t="n">
        <v>0.065</v>
      </c>
      <c r="H27" s="9" t="n">
        <v>1</v>
      </c>
      <c r="I27" s="9" t="n">
        <v>0.049</v>
      </c>
      <c r="J27" s="9" t="n">
        <v>2</v>
      </c>
      <c r="K27" s="9" t="n">
        <v>3</v>
      </c>
      <c r="L27" s="9" t="n">
        <v>146.9</v>
      </c>
    </row>
    <row r="28">
      <c r="A28" s="9" t="n">
        <v>15</v>
      </c>
      <c r="B28" s="9" t="inlineStr">
        <is>
          <t>紅波 (空)</t>
        </is>
      </c>
      <c r="C28" s="9" t="inlineStr">
        <is>
          <t>主波</t>
        </is>
      </c>
      <c r="D28" s="9" t="n">
        <v>53</v>
      </c>
      <c r="E28" s="9" t="n">
        <v>36.09</v>
      </c>
      <c r="F28" s="9" t="n">
        <v>26.75</v>
      </c>
      <c r="G28" s="9" t="n">
        <v>1.296</v>
      </c>
      <c r="H28" s="9" t="n">
        <v>10</v>
      </c>
      <c r="I28" s="9" t="n">
        <v>0.681</v>
      </c>
      <c r="J28" s="9" t="n">
        <v>25</v>
      </c>
      <c r="K28" s="9" t="n">
        <v>28</v>
      </c>
      <c r="L28" s="9" t="n">
        <v>123.4</v>
      </c>
    </row>
    <row r="29">
      <c r="A29" s="15" t="n">
        <v>16</v>
      </c>
      <c r="B29" s="15" t="inlineStr">
        <is>
          <t>綠波 (多)</t>
        </is>
      </c>
      <c r="C29" s="15" t="inlineStr">
        <is>
          <t>雜訊波</t>
        </is>
      </c>
      <c r="D29" s="15" t="n">
        <v>1</v>
      </c>
      <c r="E29" s="15" t="n">
        <v>0.092</v>
      </c>
      <c r="F29" s="15" t="n">
        <v>0.07000000000000001</v>
      </c>
      <c r="G29" s="15" t="n">
        <v>0.092</v>
      </c>
      <c r="H29" s="15" t="n">
        <v>1</v>
      </c>
      <c r="I29" s="15" t="n">
        <v>0.092</v>
      </c>
      <c r="J29" s="15" t="n">
        <v>1</v>
      </c>
      <c r="K29" s="15" t="n">
        <v>0</v>
      </c>
      <c r="L29" s="15" t="n">
        <v>123.71</v>
      </c>
    </row>
    <row r="30">
      <c r="A30" s="15" t="n">
        <v>17</v>
      </c>
      <c r="B30" s="15" t="inlineStr">
        <is>
          <t>紅波 (空)</t>
        </is>
      </c>
      <c r="C30" s="15" t="inlineStr">
        <is>
          <t>雜訊波</t>
        </is>
      </c>
      <c r="D30" s="15" t="n">
        <v>1</v>
      </c>
      <c r="E30" s="15" t="n">
        <v>0.037</v>
      </c>
      <c r="F30" s="15" t="n">
        <v>0.03</v>
      </c>
      <c r="G30" s="15" t="n">
        <v>0.037</v>
      </c>
      <c r="H30" s="15" t="n">
        <v>1</v>
      </c>
      <c r="I30" s="15" t="n">
        <v>0.037</v>
      </c>
      <c r="J30" s="15" t="n">
        <v>1</v>
      </c>
      <c r="K30" s="15" t="n">
        <v>0</v>
      </c>
      <c r="L30" s="15" t="n">
        <v>121.72</v>
      </c>
    </row>
    <row r="31">
      <c r="A31" s="15" t="n">
        <v>18</v>
      </c>
      <c r="B31" s="15" t="inlineStr">
        <is>
          <t>綠波 (多)</t>
        </is>
      </c>
      <c r="C31" s="15" t="inlineStr">
        <is>
          <t>雜訊波</t>
        </is>
      </c>
      <c r="D31" s="15" t="n">
        <v>1</v>
      </c>
      <c r="E31" s="15" t="n">
        <v>0.011</v>
      </c>
      <c r="F31" s="15" t="n">
        <v>0.01</v>
      </c>
      <c r="G31" s="15" t="n">
        <v>0.011</v>
      </c>
      <c r="H31" s="15" t="n">
        <v>1</v>
      </c>
      <c r="I31" s="15" t="n">
        <v>0.011</v>
      </c>
      <c r="J31" s="15" t="n">
        <v>1</v>
      </c>
      <c r="K31" s="15" t="n">
        <v>0</v>
      </c>
      <c r="L31" s="15" t="n">
        <v>122.3</v>
      </c>
    </row>
    <row r="32">
      <c r="A32" s="9" t="n">
        <v>19</v>
      </c>
      <c r="B32" s="9" t="inlineStr">
        <is>
          <t>紅波 (空)</t>
        </is>
      </c>
      <c r="C32" s="9" t="inlineStr">
        <is>
          <t>主波</t>
        </is>
      </c>
      <c r="D32" s="9" t="n">
        <v>8</v>
      </c>
      <c r="E32" s="9" t="n">
        <v>0.508</v>
      </c>
      <c r="F32" s="9" t="n">
        <v>0.42</v>
      </c>
      <c r="G32" s="9" t="n">
        <v>0.128</v>
      </c>
      <c r="H32" s="9" t="n">
        <v>3</v>
      </c>
      <c r="I32" s="9" t="n">
        <v>0.064</v>
      </c>
      <c r="J32" s="9" t="n">
        <v>5</v>
      </c>
      <c r="K32" s="9" t="n">
        <v>3</v>
      </c>
      <c r="L32" s="9" t="n">
        <v>118.17</v>
      </c>
    </row>
    <row r="33">
      <c r="A33" s="15" t="n">
        <v>20</v>
      </c>
      <c r="B33" s="15" t="inlineStr">
        <is>
          <t>綠波 (多)</t>
        </is>
      </c>
      <c r="C33" s="15" t="inlineStr">
        <is>
          <t>雜訊波</t>
        </is>
      </c>
      <c r="D33" s="15" t="n">
        <v>1</v>
      </c>
      <c r="E33" s="15" t="n">
        <v>0.017</v>
      </c>
      <c r="F33" s="15" t="n">
        <v>0.01</v>
      </c>
      <c r="G33" s="15" t="n">
        <v>0.017</v>
      </c>
      <c r="H33" s="15" t="n">
        <v>1</v>
      </c>
      <c r="I33" s="15" t="n">
        <v>0.017</v>
      </c>
      <c r="J33" s="15" t="n">
        <v>1</v>
      </c>
      <c r="K33" s="15" t="n">
        <v>0</v>
      </c>
      <c r="L33" s="15" t="n">
        <v>118.37</v>
      </c>
    </row>
    <row r="34">
      <c r="A34" s="9" t="n">
        <v>21</v>
      </c>
      <c r="B34" s="9" t="inlineStr">
        <is>
          <t>紅波 (空)</t>
        </is>
      </c>
      <c r="C34" s="9" t="inlineStr">
        <is>
          <t>主波</t>
        </is>
      </c>
      <c r="D34" s="9" t="n">
        <v>7</v>
      </c>
      <c r="E34" s="9" t="n">
        <v>1.048</v>
      </c>
      <c r="F34" s="9" t="n">
        <v>0.91</v>
      </c>
      <c r="G34" s="9" t="n">
        <v>0.313</v>
      </c>
      <c r="H34" s="9" t="n">
        <v>5</v>
      </c>
      <c r="I34" s="9" t="n">
        <v>0.15</v>
      </c>
      <c r="J34" s="9" t="n">
        <v>4</v>
      </c>
      <c r="K34" s="9" t="n">
        <v>3</v>
      </c>
      <c r="L34" s="9" t="n">
        <v>114.14</v>
      </c>
    </row>
    <row r="35">
      <c r="A35" s="15" t="n">
        <v>22</v>
      </c>
      <c r="B35" s="15" t="inlineStr">
        <is>
          <t>綠波 (多)</t>
        </is>
      </c>
      <c r="C35" s="15" t="inlineStr">
        <is>
          <t>雜訊波</t>
        </is>
      </c>
      <c r="D35" s="15" t="n">
        <v>1</v>
      </c>
      <c r="E35" s="15" t="n">
        <v>0.023</v>
      </c>
      <c r="F35" s="15" t="n">
        <v>0.02</v>
      </c>
      <c r="G35" s="15" t="n">
        <v>0.023</v>
      </c>
      <c r="H35" s="15" t="n">
        <v>1</v>
      </c>
      <c r="I35" s="15" t="n">
        <v>0.023</v>
      </c>
      <c r="J35" s="15" t="n">
        <v>1</v>
      </c>
      <c r="K35" s="15" t="n">
        <v>0</v>
      </c>
      <c r="L35" s="15" t="n">
        <v>114.27</v>
      </c>
    </row>
    <row r="36">
      <c r="A36" s="15" t="n">
        <v>23</v>
      </c>
      <c r="B36" s="15" t="inlineStr">
        <is>
          <t>紅波 (空)</t>
        </is>
      </c>
      <c r="C36" s="15" t="inlineStr">
        <is>
          <t>雜訊波</t>
        </is>
      </c>
      <c r="D36" s="15" t="n">
        <v>2</v>
      </c>
      <c r="E36" s="15" t="n">
        <v>0.053</v>
      </c>
      <c r="F36" s="15" t="n">
        <v>0.05</v>
      </c>
      <c r="G36" s="15" t="n">
        <v>0.033</v>
      </c>
      <c r="H36" s="15" t="n">
        <v>2</v>
      </c>
      <c r="I36" s="15" t="n">
        <v>0.027</v>
      </c>
      <c r="J36" s="15" t="n">
        <v>2</v>
      </c>
      <c r="K36" s="15" t="n">
        <v>0</v>
      </c>
      <c r="L36" s="15" t="n">
        <v>112.93</v>
      </c>
    </row>
    <row r="37">
      <c r="A37" s="9" t="n">
        <v>24</v>
      </c>
      <c r="B37" s="9" t="inlineStr">
        <is>
          <t>綠波 (多)</t>
        </is>
      </c>
      <c r="C37" s="9" t="inlineStr">
        <is>
          <t>主波</t>
        </is>
      </c>
      <c r="D37" s="9" t="n">
        <v>4</v>
      </c>
      <c r="E37" s="9" t="n">
        <v>0.334</v>
      </c>
      <c r="F37" s="9" t="n">
        <v>0.3</v>
      </c>
      <c r="G37" s="9" t="n">
        <v>0.092</v>
      </c>
      <c r="H37" s="9" t="n">
        <v>2</v>
      </c>
      <c r="I37" s="9" t="n">
        <v>0.083</v>
      </c>
      <c r="J37" s="9" t="n">
        <v>2</v>
      </c>
      <c r="K37" s="9" t="n">
        <v>2</v>
      </c>
      <c r="L37" s="9" t="n">
        <v>113.41</v>
      </c>
    </row>
    <row r="38" ht="30" customHeight="1">
      <c r="A38" s="13" t="inlineStr">
        <is>
          <t>級別過濾：柱數 &lt; 3 或面積不足同向波中位數 15% 者列為雜訊波。沒有這一步，一兩根柱的反彈會被拿去和主升浪比面積，得出 99% 的假背馳。背馳只有在同級別的波之間才成立。</t>
        </is>
      </c>
    </row>
  </sheetData>
  <mergeCells count="4">
    <mergeCell ref="A13:L13"/>
    <mergeCell ref="A38:L38"/>
    <mergeCell ref="A1:F1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4" t="inlineStr">
        <is>
          <t>背馳是柱狀圖唯一有統計意義的轉勢訊號</t>
        </is>
      </c>
    </row>
    <row r="2">
      <c r="A2" s="2" t="inlineStr">
        <is>
          <t>定義：價格創新高（或新低），但同向動能面積萎縮。前提是兩波必須同級別。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/>
    <row r="4">
      <c r="A4" s="5" t="inlineStr">
        <is>
          <t>項目</t>
        </is>
      </c>
      <c r="B4" s="5" t="inlineStr">
        <is>
          <t>公式 / 判定</t>
        </is>
      </c>
    </row>
    <row r="5">
      <c r="A5" s="2" t="inlineStr">
        <is>
          <t>頂背馳條件</t>
        </is>
      </c>
      <c r="B5" s="6" t="inlineStr">
        <is>
          <t>P₂ &gt; P₁（價格新高） 且 A₂ &lt; A₁（綠波面積萎縮）</t>
        </is>
      </c>
    </row>
    <row r="6">
      <c r="A6" s="2" t="inlineStr">
        <is>
          <t>底背馳條件</t>
        </is>
      </c>
      <c r="B6" s="6" t="inlineStr">
        <is>
          <t>P₂ &lt; P₁（價格新低） 且 A₂ &lt; A₁（紅波面積萎縮）</t>
        </is>
      </c>
    </row>
    <row r="7">
      <c r="A7" s="2" t="inlineStr">
        <is>
          <t>背馳強度</t>
        </is>
      </c>
      <c r="B7" s="6" t="inlineStr">
        <is>
          <t>DVG = 1 − A₂/A₁ ∈ (0, 1)</t>
        </is>
      </c>
    </row>
    <row r="8">
      <c r="A8" s="2" t="inlineStr">
        <is>
          <t>判定</t>
        </is>
      </c>
      <c r="B8" s="6" t="inlineStr">
        <is>
          <t>DVG &gt; 0.30 顯著背馳；0 &lt; DVG ≤ 0.30 輕微；A₂ ≥ A₁ 動能同步（不是背馳）</t>
        </is>
      </c>
    </row>
    <row r="9">
      <c r="A9" s="2" t="inlineStr">
        <is>
          <t>輔助</t>
        </is>
      </c>
      <c r="B9" s="6" t="inlineStr">
        <is>
          <t>峰值比 H₂/H₁ 同步看。面積與峰值同時萎縮，訊號強度最高</t>
        </is>
      </c>
    </row>
    <row r="10"/>
    <row r="11">
      <c r="A11" s="7" t="inlineStr">
        <is>
          <t>示範：合成資料的背馳檢測（僅主波）</t>
        </is>
      </c>
    </row>
    <row r="12">
      <c r="A12" s="5" t="inlineStr">
        <is>
          <t>前波</t>
        </is>
      </c>
      <c r="B12" s="5" t="inlineStr">
        <is>
          <t>本波</t>
        </is>
      </c>
      <c r="C12" s="5" t="inlineStr">
        <is>
          <t>方向</t>
        </is>
      </c>
      <c r="D12" s="5" t="inlineStr">
        <is>
          <t>價格創新極值</t>
        </is>
      </c>
      <c r="E12" s="5" t="inlineStr">
        <is>
          <t>價格變動%</t>
        </is>
      </c>
      <c r="F12" s="5" t="inlineStr">
        <is>
          <t>面積比 A₂/A₁</t>
        </is>
      </c>
      <c r="G12" s="5" t="inlineStr">
        <is>
          <t>峰值比 H₂/H₁</t>
        </is>
      </c>
      <c r="H12" s="5" t="inlineStr">
        <is>
          <t>背馳強度</t>
        </is>
      </c>
      <c r="I12" s="5" t="inlineStr">
        <is>
          <t>判定</t>
        </is>
      </c>
    </row>
    <row r="13">
      <c r="A13" s="9" t="n">
        <v>2</v>
      </c>
      <c r="B13" s="9" t="n">
        <v>8</v>
      </c>
      <c r="C13" s="9" t="inlineStr">
        <is>
          <t>綠波 (多)</t>
        </is>
      </c>
      <c r="D13" s="9" t="inlineStr">
        <is>
          <t>是</t>
        </is>
      </c>
      <c r="E13" s="9" t="n">
        <v>6.29</v>
      </c>
      <c r="F13" s="9" t="n">
        <v>0.618</v>
      </c>
      <c r="G13" s="9" t="n">
        <v>0.664</v>
      </c>
      <c r="H13" s="9" t="n">
        <v>0.382</v>
      </c>
      <c r="I13" s="16" t="inlineStr">
        <is>
          <t>顯著背馳</t>
        </is>
      </c>
    </row>
    <row r="14">
      <c r="A14" s="9" t="n">
        <v>8</v>
      </c>
      <c r="B14" s="9" t="n">
        <v>10</v>
      </c>
      <c r="C14" s="9" t="inlineStr">
        <is>
          <t>綠波 (多)</t>
        </is>
      </c>
      <c r="D14" s="9" t="inlineStr">
        <is>
          <t>是</t>
        </is>
      </c>
      <c r="E14" s="9" t="n">
        <v>1.63</v>
      </c>
      <c r="F14" s="9" t="n">
        <v>0.026</v>
      </c>
      <c r="G14" s="9" t="n">
        <v>0.205</v>
      </c>
      <c r="H14" s="9" t="n">
        <v>0.974</v>
      </c>
      <c r="I14" s="16" t="inlineStr">
        <is>
          <t>顯著背馳</t>
        </is>
      </c>
    </row>
    <row r="15">
      <c r="A15" s="9" t="n">
        <v>10</v>
      </c>
      <c r="B15" s="9" t="n">
        <v>12</v>
      </c>
      <c r="C15" s="9" t="inlineStr">
        <is>
          <t>綠波 (多)</t>
        </is>
      </c>
      <c r="D15" s="9" t="inlineStr">
        <is>
          <t>是</t>
        </is>
      </c>
      <c r="E15" s="9" t="n">
        <v>1.2</v>
      </c>
      <c r="F15" s="9" t="n">
        <v>0.5679999999999999</v>
      </c>
      <c r="G15" s="9" t="n">
        <v>0.424</v>
      </c>
      <c r="H15" s="9" t="n">
        <v>0.432</v>
      </c>
      <c r="I15" s="16" t="inlineStr">
        <is>
          <t>顯著背馳</t>
        </is>
      </c>
    </row>
    <row r="16">
      <c r="A16" s="9" t="n">
        <v>12</v>
      </c>
      <c r="B16" s="9" t="n">
        <v>14</v>
      </c>
      <c r="C16" s="9" t="inlineStr">
        <is>
          <t>綠波 (多)</t>
        </is>
      </c>
      <c r="D16" s="9" t="inlineStr">
        <is>
          <t>是</t>
        </is>
      </c>
      <c r="E16" s="9" t="n">
        <v>0.97</v>
      </c>
      <c r="F16" s="9" t="n">
        <v>0.889</v>
      </c>
      <c r="G16" s="9" t="n">
        <v>1.024</v>
      </c>
      <c r="H16" s="9" t="n">
        <v>0.111</v>
      </c>
      <c r="I16" s="9" t="inlineStr">
        <is>
          <t>輕微背馳</t>
        </is>
      </c>
    </row>
    <row r="17">
      <c r="A17" s="9" t="n">
        <v>14</v>
      </c>
      <c r="B17" s="9" t="n">
        <v>24</v>
      </c>
      <c r="C17" s="9" t="inlineStr">
        <is>
          <t>綠波 (多)</t>
        </is>
      </c>
      <c r="D17" s="9" t="inlineStr">
        <is>
          <t>否</t>
        </is>
      </c>
      <c r="E17" s="9" t="n">
        <v>-22.8</v>
      </c>
      <c r="F17" s="9" t="n">
        <v>1.356</v>
      </c>
      <c r="G17" s="9" t="n">
        <v>1.406</v>
      </c>
      <c r="H17" s="9" t="n"/>
      <c r="I17" s="9" t="inlineStr">
        <is>
          <t>未創新極值</t>
        </is>
      </c>
    </row>
    <row r="18">
      <c r="A18" s="9" t="n">
        <v>3</v>
      </c>
      <c r="B18" s="9" t="n">
        <v>7</v>
      </c>
      <c r="C18" s="9" t="inlineStr">
        <is>
          <t>紅波 (空)</t>
        </is>
      </c>
      <c r="D18" s="9" t="inlineStr">
        <is>
          <t>是</t>
        </is>
      </c>
      <c r="E18" s="9" t="n">
        <v>-3.34</v>
      </c>
      <c r="F18" s="9" t="n">
        <v>172.389</v>
      </c>
      <c r="G18" s="9" t="n">
        <v>21.525</v>
      </c>
      <c r="H18" s="9" t="n">
        <v>-171.389</v>
      </c>
      <c r="I18" s="9" t="inlineStr">
        <is>
          <t>動能同步</t>
        </is>
      </c>
    </row>
    <row r="19">
      <c r="A19" s="9" t="n">
        <v>7</v>
      </c>
      <c r="B19" s="9" t="n">
        <v>15</v>
      </c>
      <c r="C19" s="9" t="inlineStr">
        <is>
          <t>紅波 (空)</t>
        </is>
      </c>
      <c r="D19" s="9" t="inlineStr">
        <is>
          <t>是</t>
        </is>
      </c>
      <c r="E19" s="9" t="n">
        <v>-4.25</v>
      </c>
      <c r="F19" s="9" t="n">
        <v>0.951</v>
      </c>
      <c r="G19" s="9" t="n">
        <v>0.76</v>
      </c>
      <c r="H19" s="9" t="n">
        <v>0.049</v>
      </c>
      <c r="I19" s="9" t="inlineStr">
        <is>
          <t>輕微背馳</t>
        </is>
      </c>
    </row>
    <row r="20">
      <c r="A20" s="9" t="n">
        <v>15</v>
      </c>
      <c r="B20" s="9" t="n">
        <v>19</v>
      </c>
      <c r="C20" s="9" t="inlineStr">
        <is>
          <t>紅波 (空)</t>
        </is>
      </c>
      <c r="D20" s="9" t="inlineStr">
        <is>
          <t>是</t>
        </is>
      </c>
      <c r="E20" s="9" t="n">
        <v>-4.24</v>
      </c>
      <c r="F20" s="9" t="n">
        <v>0.014</v>
      </c>
      <c r="G20" s="9" t="n">
        <v>0.099</v>
      </c>
      <c r="H20" s="9" t="n">
        <v>0.986</v>
      </c>
      <c r="I20" s="16" t="inlineStr">
        <is>
          <t>顯著背馳</t>
        </is>
      </c>
    </row>
    <row r="21">
      <c r="A21" s="9" t="n">
        <v>19</v>
      </c>
      <c r="B21" s="9" t="n">
        <v>21</v>
      </c>
      <c r="C21" s="9" t="inlineStr">
        <is>
          <t>紅波 (空)</t>
        </is>
      </c>
      <c r="D21" s="9" t="inlineStr">
        <is>
          <t>是</t>
        </is>
      </c>
      <c r="E21" s="9" t="n">
        <v>-3.41</v>
      </c>
      <c r="F21" s="9" t="n">
        <v>2.062</v>
      </c>
      <c r="G21" s="9" t="n">
        <v>2.449</v>
      </c>
      <c r="H21" s="9" t="n">
        <v>-1.062</v>
      </c>
      <c r="I21" s="9" t="inlineStr">
        <is>
          <t>動能同步</t>
        </is>
      </c>
    </row>
    <row r="22" ht="30" customHeight="1">
      <c r="A22" s="13" t="inlineStr">
        <is>
          <t>留意 wave 2 → wave 8：價格 +6.29%，但動能面積只剩 61.8%，背馳強度 0.382 —— 這正是合成資料中刻意造出的頂背馳。演算法把它抓了出來。</t>
        </is>
      </c>
    </row>
  </sheetData>
  <mergeCells count="4">
    <mergeCell ref="A1:I1"/>
    <mergeCell ref="A2:I2"/>
    <mergeCell ref="A11:I11"/>
    <mergeCell ref="A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26" customWidth="1" min="4" max="4"/>
  </cols>
  <sheetData>
    <row r="1">
      <c r="A1" s="14" t="inlineStr">
        <is>
          <t>轉勢綜合分 TRS（0–100）</t>
        </is>
      </c>
    </row>
    <row r="2">
      <c r="A2" s="5" t="inlineStr">
        <is>
          <t>證據</t>
        </is>
      </c>
      <c r="B2" s="5" t="inlineStr">
        <is>
          <t>權重</t>
        </is>
      </c>
      <c r="C2" s="5" t="inlineStr">
        <is>
          <t>判定</t>
        </is>
      </c>
      <c r="D2" s="5" t="inlineStr">
        <is>
          <t>在轉勢過程中出現的次序</t>
        </is>
      </c>
    </row>
    <row r="3">
      <c r="A3" s="2" t="inlineStr">
        <is>
          <t>顏色由深轉淺</t>
        </is>
      </c>
      <c r="B3" s="2" t="n">
        <v>20</v>
      </c>
      <c r="C3" s="6" t="inlineStr">
        <is>
          <t>出現淺色柱（深綠→淺綠 / 深紅→淺紅）</t>
        </is>
      </c>
      <c r="D3" s="2" t="inlineStr">
        <is>
          <t>① 最早</t>
        </is>
      </c>
    </row>
    <row r="4">
      <c r="A4" s="2" t="inlineStr">
        <is>
          <t>衰減率 λ &gt; 0.5</t>
        </is>
      </c>
      <c r="B4" s="2" t="n">
        <v>15</v>
      </c>
      <c r="C4" s="6" t="inlineStr">
        <is>
          <t>本波動能已耗掉一半以上</t>
        </is>
      </c>
      <c r="D4" s="2" t="inlineStr">
        <is>
          <t>②</t>
        </is>
      </c>
    </row>
    <row r="5">
      <c r="A5" s="2" t="inlineStr">
        <is>
          <t>連續淺色 ≥ 3 根</t>
        </is>
      </c>
      <c r="B5" s="2" t="n">
        <v>15</v>
      </c>
      <c r="C5" s="6" t="inlineStr">
        <is>
          <t>排除單根雜訊</t>
        </is>
      </c>
      <c r="D5" s="2" t="inlineStr">
        <is>
          <t>③</t>
        </is>
      </c>
    </row>
    <row r="6">
      <c r="A6" s="2" t="inlineStr">
        <is>
          <t>背馳強度 &gt; 0.3</t>
        </is>
      </c>
      <c r="B6" s="2" t="n">
        <v>25</v>
      </c>
      <c r="C6" s="6" t="inlineStr">
        <is>
          <t>同級別波的面積萎縮逾三成（權重最高）</t>
        </is>
      </c>
      <c r="D6" s="2" t="inlineStr">
        <is>
          <t>④</t>
        </is>
      </c>
    </row>
    <row r="7">
      <c r="A7" s="2" t="inlineStr">
        <is>
          <t>柱體已過零軸</t>
        </is>
      </c>
      <c r="B7" s="2" t="n">
        <v>15</v>
      </c>
      <c r="C7" s="6" t="inlineStr">
        <is>
          <t>h 翻負（頂）／翻正（底）</t>
        </is>
      </c>
      <c r="D7" s="2" t="inlineStr">
        <is>
          <t>⑤</t>
        </is>
      </c>
    </row>
    <row r="8">
      <c r="A8" s="2" t="inlineStr">
        <is>
          <t>價格破前低／前高</t>
        </is>
      </c>
      <c r="B8" s="2" t="n">
        <v>10</v>
      </c>
      <c r="C8" s="6" t="inlineStr">
        <is>
          <t>跌穿前 20 根低點（頂）／升穿高點（底）</t>
        </is>
      </c>
      <c r="D8" s="2" t="inlineStr">
        <is>
          <t>⑥ 最遲</t>
        </is>
      </c>
    </row>
    <row r="9">
      <c r="A9" s="2" t="inlineStr">
        <is>
          <t>合計</t>
        </is>
      </c>
      <c r="B9" s="2" t="n">
        <v>100</v>
      </c>
      <c r="C9" s="6" t="inlineStr"/>
      <c r="D9" s="2" t="inlineStr"/>
    </row>
    <row r="10"/>
    <row r="11">
      <c r="A11" s="5" t="inlineStr">
        <is>
          <t>TRS</t>
        </is>
      </c>
      <c r="B11" s="5" t="inlineStr">
        <is>
          <t>分級</t>
        </is>
      </c>
      <c r="C11" s="5" t="inlineStr">
        <is>
          <t>行動</t>
        </is>
      </c>
    </row>
    <row r="12">
      <c r="A12" s="17" t="inlineStr">
        <is>
          <t>0–35</t>
        </is>
      </c>
      <c r="B12" s="17" t="inlineStr">
        <is>
          <t>趨勢延續</t>
        </is>
      </c>
      <c r="C12" s="17" t="inlineStr">
        <is>
          <t>持有。淺色柱在健康升勢中本來就會不斷出現</t>
        </is>
      </c>
    </row>
    <row r="13">
      <c r="A13" s="18" t="inlineStr">
        <is>
          <t>35–60</t>
        </is>
      </c>
      <c r="B13" s="18" t="inlineStr">
        <is>
          <t>動能衰竭·減倉</t>
        </is>
      </c>
      <c r="C13" s="18" t="inlineStr">
        <is>
          <t>減倉、收緊止蝕。不反手</t>
        </is>
      </c>
    </row>
    <row r="14">
      <c r="A14" s="19" t="inlineStr">
        <is>
          <t>60–80</t>
        </is>
      </c>
      <c r="B14" s="19" t="inlineStr">
        <is>
          <t>轉勢確認中·離場</t>
        </is>
      </c>
      <c r="C14" s="19" t="inlineStr">
        <is>
          <t>清倉。此時多半已過高點</t>
        </is>
      </c>
    </row>
    <row r="15">
      <c r="A15" s="20" t="inlineStr">
        <is>
          <t>80–100</t>
        </is>
      </c>
      <c r="B15" s="20" t="inlineStr">
        <is>
          <t>已轉勢·可反手</t>
        </is>
      </c>
      <c r="C15" s="20" t="inlineStr">
        <is>
          <t>可考慮反向，但確認度換來的是滯後</t>
        </is>
      </c>
    </row>
    <row r="16"/>
    <row r="17" ht="75" customHeight="1">
      <c r="A17" s="13" t="inlineStr">
        <is>
          <t>兩個必要的工程細節，缺一個分數就會失真：
① 證據鎖存（10 根）：背馳發生在柱體翻負「之前」，破結構在「之後」，若只看當根，兩者永不同時成立，分數上限被結構性壓在 75 分，80 分那一級數學上不可能出現。
② 情境閘：「頂部轉勢」只在升勢情境中計分（近 15 根內曾站上 MA50），否則跌勢中每次深紅轉淺紅都會拿分 —— 那是反彈，不是轉勢。</t>
        </is>
      </c>
    </row>
  </sheetData>
  <mergeCells count="2">
    <mergeCell ref="A1:E1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8" customWidth="1" min="3" max="3"/>
  </cols>
  <sheetData>
    <row r="1">
      <c r="A1" s="14" t="inlineStr">
        <is>
          <t>合成資料驗證 —— 連同它的失敗一起列出</t>
        </is>
      </c>
    </row>
    <row r="2">
      <c r="A2" s="5" t="inlineStr">
        <is>
          <t>檢驗項目</t>
        </is>
      </c>
      <c r="B2" s="5" t="inlineStr">
        <is>
          <t>結果</t>
        </is>
      </c>
      <c r="C2" s="5" t="inlineStr">
        <is>
          <t>判讀</t>
        </is>
      </c>
    </row>
    <row r="3">
      <c r="A3" s="2" t="inlineStr">
        <is>
          <t>TRS ≥ 60 首次觸發</t>
        </is>
      </c>
      <c r="B3" s="2" t="inlineStr">
        <is>
          <t>2026-03-30 @ 133.34</t>
        </is>
      </c>
      <c r="C3" s="6" t="inlineStr">
        <is>
          <t>距價格最高點 -165 曆日</t>
        </is>
      </c>
    </row>
    <row r="4">
      <c r="A4" s="2" t="inlineStr">
        <is>
          <t>TRS ≥ 80 首次觸發</t>
        </is>
      </c>
      <c r="B4" s="2" t="inlineStr">
        <is>
          <t>2026-08-10 @ 141.20</t>
        </is>
      </c>
      <c r="C4" s="6" t="inlineStr">
        <is>
          <t>距價格最高點 -32 曆日</t>
        </is>
      </c>
    </row>
    <row r="5">
      <c r="A5" s="2" t="inlineStr">
        <is>
          <t>價格最高點</t>
        </is>
      </c>
      <c r="B5" s="2" t="inlineStr">
        <is>
          <t>2026-09-11 @ 146.90</t>
        </is>
      </c>
      <c r="C5" s="6" t="inlineStr">
        <is>
          <t>合成資料的真實頂部</t>
        </is>
      </c>
    </row>
    <row r="6">
      <c r="A6" s="2" t="inlineStr">
        <is>
          <t>最高點當日 TRS</t>
        </is>
      </c>
      <c r="B6" s="2" t="inlineStr">
        <is>
          <t>75（轉勢確認中·離場）</t>
        </is>
      </c>
      <c r="C6" s="6" t="inlineStr">
        <is>
          <t>頂部當日已進入離場級別</t>
        </is>
      </c>
    </row>
    <row r="7">
      <c r="A7" s="2" t="inlineStr">
        <is>
          <t>次一根 TRS</t>
        </is>
      </c>
      <c r="B7" s="2" t="inlineStr">
        <is>
          <t>90（已轉勢·可反手）</t>
        </is>
      </c>
      <c r="C7" s="6" t="inlineStr">
        <is>
          <t>轉勢確認滯後一根 —— 這是可接受的滯後</t>
        </is>
      </c>
    </row>
    <row r="8">
      <c r="A8" s="2" t="inlineStr">
        <is>
          <t>TRS ≥ 60 觸發頻率</t>
        </is>
      </c>
      <c r="B8" s="2" t="inlineStr">
        <is>
          <t>77 / 260 根（30%）</t>
        </is>
      </c>
      <c r="C8" s="6" t="inlineStr">
        <is>
          <t>其後 20 根平均報酬 +0.48%，全樣本基準 +0.99%，下跌命中率 35%</t>
        </is>
      </c>
    </row>
    <row r="9">
      <c r="A9" s="2" t="inlineStr">
        <is>
          <t>TRS ≥ 80 觸發頻率</t>
        </is>
      </c>
      <c r="B9" s="2" t="inlineStr">
        <is>
          <t>6 / 260 根（2%）</t>
        </is>
      </c>
      <c r="C9" s="6" t="inlineStr">
        <is>
          <t>其後 20 根平均報酬 -1.08%，全樣本基準 +0.99%，下跌命中率 50%</t>
        </is>
      </c>
    </row>
    <row r="10"/>
    <row r="11">
      <c r="A11" s="7" t="inlineStr">
        <is>
          <t>誠實的結論</t>
        </is>
      </c>
    </row>
    <row r="12">
      <c r="A12" s="2" t="inlineStr">
        <is>
          <t>① 指標本身是可靠的算術</t>
        </is>
      </c>
      <c r="B12" s="6" t="inlineStr">
        <is>
          <t>面積、峰值、密度、衰減率、背馳強度都是確定性計算，沒有擬合成分</t>
        </is>
      </c>
    </row>
    <row r="13">
      <c r="A13" s="2" t="inlineStr">
        <is>
          <t>② TRS ≥ 80 方向正確但樣本無效</t>
        </is>
      </c>
      <c r="B13" s="6" t="inlineStr">
        <is>
          <t>本檔只在「一條」合成序列上測過：其後 20 根報酬 −1.08% vs 基準 +0.99%，看似有 2.1 個百分點優勢，但 n=6，統計上毫無意義</t>
        </is>
      </c>
    </row>
    <row r="14">
      <c r="A14" s="2" t="inlineStr">
        <is>
          <t>③ TRS ≥ 60 幾乎沒有優勢</t>
        </is>
      </c>
      <c r="B14" s="6" t="inlineStr">
        <is>
          <t>觸發率高達 30%，其後報酬 +0.48% vs 基準 +0.99% —— 只能當狀態顯示，不能當進出訊號</t>
        </is>
      </c>
    </row>
    <row r="15">
      <c r="A15" s="2" t="inlineStr">
        <is>
          <t>④ 背馳訊號天生偏早</t>
        </is>
      </c>
      <c r="B15" s="6" t="inlineStr">
        <is>
          <t>TRS 首次過 60 比真正頂部早 165 個曆日。背馳是「風險在上升」，不是「今天見頂」</t>
        </is>
      </c>
    </row>
    <row r="16">
      <c r="A16" s="2" t="inlineStr">
        <is>
          <t>⑤ 必須用自己的標的回測</t>
        </is>
      </c>
      <c r="B16" s="6" t="inlineStr">
        <is>
          <t>門檻 0.30 / 0.50 / 3 根 / 10 根鎖存全部是起點，不是真理</t>
        </is>
      </c>
    </row>
    <row r="17" ht="30" customHeight="1">
      <c r="A17" s="13" t="inlineStr">
        <is>
          <t>本頁所有數字來自 scripts/macd_histogram_momentum.py 的 --demo 合成序列。本工作階段的行情 API 全部被網絡政策封鎖（403），因此無法用真實股票資料驗證。換入真實資料的方法見 06 頁。</t>
        </is>
      </c>
    </row>
  </sheetData>
  <mergeCells count="3">
    <mergeCell ref="A11:G11"/>
    <mergeCell ref="A1:G1"/>
    <mergeCell ref="A17:G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4" t="inlineStr">
        <is>
          <t>四色柱狀圖（合成資料，頂部轉勢前後 70 根）</t>
        </is>
      </c>
    </row>
    <row r="2"/>
    <row r="3">
      <c r="A3" t="inlineStr">
        <is>
          <t>日期</t>
        </is>
      </c>
      <c r="B3" s="21" t="inlineStr">
        <is>
          <t>深綠</t>
        </is>
      </c>
      <c r="C3" s="21" t="inlineStr">
        <is>
          <t>淺綠</t>
        </is>
      </c>
      <c r="D3" s="21" t="inlineStr">
        <is>
          <t>淺紅</t>
        </is>
      </c>
      <c r="E3" s="21" t="inlineStr">
        <is>
          <t>深紅</t>
        </is>
      </c>
      <c r="F3" s="21" t="inlineStr">
        <is>
          <t>收市價</t>
        </is>
      </c>
    </row>
    <row r="4">
      <c r="A4" t="inlineStr">
        <is>
          <t>07-31</t>
        </is>
      </c>
      <c r="C4" t="n">
        <v>0.1003076684056534</v>
      </c>
      <c r="F4" t="n">
        <v>140.19</v>
      </c>
    </row>
    <row r="5">
      <c r="A5" t="inlineStr">
        <is>
          <t>08-03</t>
        </is>
      </c>
      <c r="C5" t="n">
        <v>0.07847562390133334</v>
      </c>
      <c r="F5" t="n">
        <v>140.57</v>
      </c>
    </row>
    <row r="6">
      <c r="A6" t="inlineStr">
        <is>
          <t>08-04</t>
        </is>
      </c>
      <c r="C6" t="n">
        <v>0.04985418044133771</v>
      </c>
      <c r="F6" t="n">
        <v>140.69</v>
      </c>
    </row>
    <row r="7">
      <c r="A7" t="inlineStr">
        <is>
          <t>08-05</t>
        </is>
      </c>
      <c r="B7" t="n">
        <v>0.0644124520789271</v>
      </c>
      <c r="F7" t="n">
        <v>141.16</v>
      </c>
    </row>
    <row r="8">
      <c r="A8" t="inlineStr">
        <is>
          <t>08-06</t>
        </is>
      </c>
      <c r="C8" t="n">
        <v>0.05047951806557283</v>
      </c>
      <c r="F8" t="n">
        <v>141.21</v>
      </c>
    </row>
    <row r="9">
      <c r="A9" t="inlineStr">
        <is>
          <t>08-07</t>
        </is>
      </c>
      <c r="C9" t="n">
        <v>0.04564262322637713</v>
      </c>
      <c r="F9" t="n">
        <v>141.47</v>
      </c>
    </row>
    <row r="10">
      <c r="A10" t="inlineStr">
        <is>
          <t>08-10</t>
        </is>
      </c>
      <c r="E10" t="n">
        <v>-0.01962443727808871</v>
      </c>
      <c r="F10" t="n">
        <v>141.2</v>
      </c>
    </row>
    <row r="11">
      <c r="A11" t="inlineStr">
        <is>
          <t>08-11</t>
        </is>
      </c>
      <c r="E11" t="n">
        <v>-0.02451066420176673</v>
      </c>
      <c r="F11" t="n">
        <v>141.68</v>
      </c>
    </row>
    <row r="12">
      <c r="A12" t="inlineStr">
        <is>
          <t>08-12</t>
        </is>
      </c>
      <c r="B12" t="n">
        <v>0.1172670998941299</v>
      </c>
      <c r="F12" t="n">
        <v>143</v>
      </c>
    </row>
    <row r="13">
      <c r="A13" t="inlineStr">
        <is>
          <t>08-13</t>
        </is>
      </c>
      <c r="C13" t="n">
        <v>0.06837215053390722</v>
      </c>
      <c r="F13" t="n">
        <v>142.18</v>
      </c>
    </row>
    <row r="14">
      <c r="A14" t="inlineStr">
        <is>
          <t>08-14</t>
        </is>
      </c>
      <c r="C14" t="n">
        <v>0.01393977978356409</v>
      </c>
      <c r="F14" t="n">
        <v>142.23</v>
      </c>
    </row>
    <row r="15">
      <c r="A15" t="inlineStr">
        <is>
          <t>08-17</t>
        </is>
      </c>
      <c r="B15" t="n">
        <v>0.06076572764917021</v>
      </c>
      <c r="F15" t="n">
        <v>143.07</v>
      </c>
    </row>
    <row r="16">
      <c r="A16" t="inlineStr">
        <is>
          <t>08-18</t>
        </is>
      </c>
      <c r="B16" t="n">
        <v>0.1500010747392713</v>
      </c>
      <c r="F16" t="n">
        <v>143.77</v>
      </c>
    </row>
    <row r="17">
      <c r="A17" t="inlineStr">
        <is>
          <t>08-19</t>
        </is>
      </c>
      <c r="C17" t="n">
        <v>0.03500363101377868</v>
      </c>
      <c r="F17" t="n">
        <v>142.71</v>
      </c>
    </row>
    <row r="18">
      <c r="A18" t="inlineStr">
        <is>
          <t>08-20</t>
        </is>
      </c>
      <c r="C18" t="n">
        <v>0.03382328996256012</v>
      </c>
      <c r="F18" t="n">
        <v>143.49</v>
      </c>
    </row>
    <row r="19">
      <c r="A19" t="inlineStr">
        <is>
          <t>08-21</t>
        </is>
      </c>
      <c r="C19" t="n">
        <v>0.008103671782718536</v>
      </c>
      <c r="F19" t="n">
        <v>143.52</v>
      </c>
    </row>
    <row r="20">
      <c r="A20" t="inlineStr">
        <is>
          <t>08-24</t>
        </is>
      </c>
      <c r="E20" t="n">
        <v>-0.07218425699468467</v>
      </c>
      <c r="F20" t="n">
        <v>143.23</v>
      </c>
    </row>
    <row r="21">
      <c r="A21" t="inlineStr">
        <is>
          <t>08-25</t>
        </is>
      </c>
      <c r="B21" t="n">
        <v>0.02589893998240589</v>
      </c>
      <c r="F21" t="n">
        <v>144.57</v>
      </c>
    </row>
    <row r="22">
      <c r="A22" t="inlineStr">
        <is>
          <t>08-26</t>
        </is>
      </c>
      <c r="B22" t="n">
        <v>0.04366638417266788</v>
      </c>
      <c r="F22" t="n">
        <v>144.45</v>
      </c>
    </row>
    <row r="23">
      <c r="A23" t="inlineStr">
        <is>
          <t>08-27</t>
        </is>
      </c>
      <c r="B23" t="n">
        <v>0.05907009372524552</v>
      </c>
      <c r="F23" t="n">
        <v>144.71</v>
      </c>
    </row>
    <row r="24">
      <c r="A24" t="inlineStr">
        <is>
          <t>08-28</t>
        </is>
      </c>
      <c r="C24" t="n">
        <v>0.01928727964398647</v>
      </c>
      <c r="F24" t="n">
        <v>144.56</v>
      </c>
    </row>
    <row r="25">
      <c r="A25" t="inlineStr">
        <is>
          <t>08-31</t>
        </is>
      </c>
      <c r="B25" t="n">
        <v>0.06359977505533987</v>
      </c>
      <c r="F25" t="n">
        <v>145.32</v>
      </c>
    </row>
    <row r="26">
      <c r="A26" t="inlineStr">
        <is>
          <t>09-01</t>
        </is>
      </c>
      <c r="C26" t="n">
        <v>0.03172710536853351</v>
      </c>
      <c r="F26" t="n">
        <v>145.1</v>
      </c>
    </row>
    <row r="27">
      <c r="A27" t="inlineStr">
        <is>
          <t>09-02</t>
        </is>
      </c>
      <c r="B27" t="n">
        <v>0.03356477269144431</v>
      </c>
      <c r="F27" t="n">
        <v>145.5</v>
      </c>
    </row>
    <row r="28">
      <c r="A28" t="inlineStr">
        <is>
          <t>09-03</t>
        </is>
      </c>
      <c r="E28" t="n">
        <v>-0.02185484068138921</v>
      </c>
      <c r="F28" t="n">
        <v>145.28</v>
      </c>
    </row>
    <row r="29">
      <c r="A29" t="inlineStr">
        <is>
          <t>09-04</t>
        </is>
      </c>
      <c r="E29" t="n">
        <v>-0.06095503007368608</v>
      </c>
      <c r="F29" t="n">
        <v>145.45</v>
      </c>
    </row>
    <row r="30">
      <c r="A30" t="inlineStr">
        <is>
          <t>09-07</t>
        </is>
      </c>
      <c r="B30" t="n">
        <v>0.06511152899187156</v>
      </c>
      <c r="F30" t="n">
        <v>146.82</v>
      </c>
    </row>
    <row r="31">
      <c r="A31" t="inlineStr">
        <is>
          <t>09-08</t>
        </is>
      </c>
      <c r="C31" t="n">
        <v>0.03555547795969627</v>
      </c>
      <c r="F31" t="n">
        <v>146.21</v>
      </c>
    </row>
    <row r="32">
      <c r="A32" t="inlineStr">
        <is>
          <t>09-09</t>
        </is>
      </c>
      <c r="B32" t="n">
        <v>0.06163895003042441</v>
      </c>
      <c r="F32" t="n">
        <v>146.79</v>
      </c>
    </row>
    <row r="33">
      <c r="A33" t="inlineStr">
        <is>
          <t>09-10</t>
        </is>
      </c>
      <c r="C33" t="n">
        <v>0.0565157271149328</v>
      </c>
      <c r="F33" t="n">
        <v>146.86</v>
      </c>
    </row>
    <row r="34">
      <c r="A34" t="inlineStr">
        <is>
          <t>09-11</t>
        </is>
      </c>
      <c r="C34" t="n">
        <v>0.02726942969585888</v>
      </c>
      <c r="F34" t="n">
        <v>146.9</v>
      </c>
    </row>
    <row r="35">
      <c r="A35" t="inlineStr">
        <is>
          <t>09-14</t>
        </is>
      </c>
      <c r="E35" t="n">
        <v>-0.08158226320339645</v>
      </c>
      <c r="F35" t="n">
        <v>146.42</v>
      </c>
    </row>
    <row r="36">
      <c r="A36" t="inlineStr">
        <is>
          <t>09-15</t>
        </is>
      </c>
      <c r="E36" t="n">
        <v>-0.1652347708203101</v>
      </c>
      <c r="F36" t="n">
        <v>146.48</v>
      </c>
    </row>
    <row r="37">
      <c r="A37" t="inlineStr">
        <is>
          <t>09-16</t>
        </is>
      </c>
      <c r="E37" t="n">
        <v>-0.3472230603105952</v>
      </c>
      <c r="F37" t="n">
        <v>145.61</v>
      </c>
    </row>
    <row r="38">
      <c r="A38" t="inlineStr">
        <is>
          <t>09-17</t>
        </is>
      </c>
      <c r="E38" t="n">
        <v>-0.5183476635503879</v>
      </c>
      <c r="F38" t="n">
        <v>145.23</v>
      </c>
    </row>
    <row r="39">
      <c r="A39" t="inlineStr">
        <is>
          <t>09-18</t>
        </is>
      </c>
      <c r="E39" t="n">
        <v>-0.6711761830708283</v>
      </c>
      <c r="F39" t="n">
        <v>144.86</v>
      </c>
    </row>
    <row r="40">
      <c r="A40" t="inlineStr">
        <is>
          <t>09-21</t>
        </is>
      </c>
      <c r="E40" t="n">
        <v>-0.7466729227424378</v>
      </c>
      <c r="F40" t="n">
        <v>144.93</v>
      </c>
    </row>
    <row r="41">
      <c r="A41" t="inlineStr">
        <is>
          <t>09-22</t>
        </is>
      </c>
      <c r="E41" t="n">
        <v>-0.86282566730296</v>
      </c>
      <c r="F41" t="n">
        <v>144.26</v>
      </c>
    </row>
    <row r="42">
      <c r="A42" t="inlineStr">
        <is>
          <t>09-23</t>
        </is>
      </c>
      <c r="E42" t="n">
        <v>-0.985028051194925</v>
      </c>
      <c r="F42" t="n">
        <v>143.67</v>
      </c>
    </row>
    <row r="43">
      <c r="A43" t="inlineStr">
        <is>
          <t>09-24</t>
        </is>
      </c>
      <c r="E43" t="n">
        <v>-1.13960455242189</v>
      </c>
      <c r="F43" t="n">
        <v>142.8</v>
      </c>
    </row>
    <row r="44">
      <c r="A44" t="inlineStr">
        <is>
          <t>09-25</t>
        </is>
      </c>
      <c r="E44" t="n">
        <v>-1.296433144723111</v>
      </c>
      <c r="F44" t="n">
        <v>141.98</v>
      </c>
    </row>
    <row r="45">
      <c r="A45" t="inlineStr">
        <is>
          <t>09-28</t>
        </is>
      </c>
      <c r="D45" t="n">
        <v>-1.262580154396949</v>
      </c>
      <c r="F45" t="n">
        <v>142.58</v>
      </c>
    </row>
    <row r="46">
      <c r="A46" t="inlineStr">
        <is>
          <t>09-29</t>
        </is>
      </c>
      <c r="D46" t="n">
        <v>-1.241048659049311</v>
      </c>
      <c r="F46" t="n">
        <v>142.13</v>
      </c>
    </row>
    <row r="47">
      <c r="A47" t="inlineStr">
        <is>
          <t>09-30</t>
        </is>
      </c>
      <c r="E47" t="n">
        <v>-1.290102280045744</v>
      </c>
      <c r="F47" t="n">
        <v>141.19</v>
      </c>
    </row>
    <row r="48">
      <c r="A48" t="inlineStr">
        <is>
          <t>10-01</t>
        </is>
      </c>
      <c r="D48" t="n">
        <v>-1.275089638991039</v>
      </c>
      <c r="F48" t="n">
        <v>141.04</v>
      </c>
    </row>
    <row r="49">
      <c r="A49" t="inlineStr">
        <is>
          <t>10-02</t>
        </is>
      </c>
      <c r="D49" t="n">
        <v>-1.243248305874822</v>
      </c>
      <c r="F49" t="n">
        <v>140.7</v>
      </c>
    </row>
    <row r="50">
      <c r="A50" t="inlineStr">
        <is>
          <t>10-05</t>
        </is>
      </c>
      <c r="D50" t="n">
        <v>-1.210596991993128</v>
      </c>
      <c r="F50" t="n">
        <v>140.27</v>
      </c>
    </row>
    <row r="51">
      <c r="A51" t="inlineStr">
        <is>
          <t>10-06</t>
        </is>
      </c>
      <c r="D51" t="n">
        <v>-1.174066718447307</v>
      </c>
      <c r="F51" t="n">
        <v>139.86</v>
      </c>
    </row>
    <row r="52">
      <c r="A52" t="inlineStr">
        <is>
          <t>10-07</t>
        </is>
      </c>
      <c r="E52" t="n">
        <v>-1.218614186910781</v>
      </c>
      <c r="F52" t="n">
        <v>138.79</v>
      </c>
    </row>
    <row r="53">
      <c r="A53" t="inlineStr">
        <is>
          <t>10-08</t>
        </is>
      </c>
      <c r="D53" t="n">
        <v>-1.116594956362869</v>
      </c>
      <c r="F53" t="n">
        <v>139.23</v>
      </c>
    </row>
    <row r="54">
      <c r="A54" t="inlineStr">
        <is>
          <t>10-09</t>
        </is>
      </c>
      <c r="E54" t="n">
        <v>-1.197309294612303</v>
      </c>
      <c r="F54" t="n">
        <v>137.54</v>
      </c>
    </row>
    <row r="55">
      <c r="A55" t="inlineStr">
        <is>
          <t>10-12</t>
        </is>
      </c>
      <c r="D55" t="n">
        <v>-1.105891351389169</v>
      </c>
      <c r="F55" t="n">
        <v>138.04</v>
      </c>
    </row>
    <row r="56">
      <c r="A56" t="inlineStr">
        <is>
          <t>10-13</t>
        </is>
      </c>
      <c r="D56" t="n">
        <v>-1.051073393796828</v>
      </c>
      <c r="F56" t="n">
        <v>137.42</v>
      </c>
    </row>
    <row r="57">
      <c r="A57" t="inlineStr">
        <is>
          <t>10-14</t>
        </is>
      </c>
      <c r="D57" t="n">
        <v>-0.9767415655752534</v>
      </c>
      <c r="F57" t="n">
        <v>137.14</v>
      </c>
    </row>
    <row r="58">
      <c r="A58" t="inlineStr">
        <is>
          <t>10-15</t>
        </is>
      </c>
      <c r="D58" t="n">
        <v>-0.855911461915821</v>
      </c>
      <c r="F58" t="n">
        <v>137.15</v>
      </c>
    </row>
    <row r="59">
      <c r="A59" t="inlineStr">
        <is>
          <t>10-16</t>
        </is>
      </c>
      <c r="D59" t="n">
        <v>-0.7907279594293048</v>
      </c>
      <c r="F59" t="n">
        <v>136.52</v>
      </c>
    </row>
    <row r="60">
      <c r="A60" t="inlineStr">
        <is>
          <t>10-19</t>
        </is>
      </c>
      <c r="E60" t="n">
        <v>-0.8904101173436976</v>
      </c>
      <c r="F60" t="n">
        <v>134.88</v>
      </c>
    </row>
    <row r="61">
      <c r="A61" t="inlineStr">
        <is>
          <t>10-20</t>
        </is>
      </c>
      <c r="E61" t="n">
        <v>-0.9663533319695308</v>
      </c>
      <c r="F61" t="n">
        <v>134.19</v>
      </c>
    </row>
    <row r="62">
      <c r="A62" t="inlineStr">
        <is>
          <t>10-21</t>
        </is>
      </c>
      <c r="D62" t="n">
        <v>-0.8461086251248289</v>
      </c>
      <c r="F62" t="n">
        <v>134.87</v>
      </c>
    </row>
    <row r="63">
      <c r="A63" t="inlineStr">
        <is>
          <t>10-22</t>
        </is>
      </c>
      <c r="E63" t="n">
        <v>-0.856398132541154</v>
      </c>
      <c r="F63" t="n">
        <v>133.59</v>
      </c>
    </row>
    <row r="64">
      <c r="A64" t="inlineStr">
        <is>
          <t>10-23</t>
        </is>
      </c>
      <c r="D64" t="n">
        <v>-0.7832101194202736</v>
      </c>
      <c r="F64" t="n">
        <v>133.59</v>
      </c>
    </row>
    <row r="65">
      <c r="A65" t="inlineStr">
        <is>
          <t>10-26</t>
        </is>
      </c>
      <c r="D65" t="n">
        <v>-0.6683941744619339</v>
      </c>
      <c r="F65" t="n">
        <v>133.53</v>
      </c>
    </row>
    <row r="66">
      <c r="A66" t="inlineStr">
        <is>
          <t>10-27</t>
        </is>
      </c>
      <c r="E66" t="n">
        <v>-0.7235685775130687</v>
      </c>
      <c r="F66" t="n">
        <v>131.96</v>
      </c>
    </row>
    <row r="67">
      <c r="A67" t="inlineStr">
        <is>
          <t>10-28</t>
        </is>
      </c>
      <c r="E67" t="n">
        <v>-0.7648803124917478</v>
      </c>
      <c r="F67" t="n">
        <v>131.3</v>
      </c>
    </row>
    <row r="68">
      <c r="A68" t="inlineStr">
        <is>
          <t>10-29</t>
        </is>
      </c>
      <c r="D68" t="n">
        <v>-0.6307369115234387</v>
      </c>
      <c r="F68" t="n">
        <v>131.92</v>
      </c>
    </row>
    <row r="69">
      <c r="A69" t="inlineStr">
        <is>
          <t>10-30</t>
        </is>
      </c>
      <c r="D69" t="n">
        <v>-0.5406414936449293</v>
      </c>
      <c r="F69" t="n">
        <v>131.37</v>
      </c>
    </row>
    <row r="70">
      <c r="A70" t="inlineStr">
        <is>
          <t>11-02</t>
        </is>
      </c>
      <c r="D70" t="n">
        <v>-0.4859687524390459</v>
      </c>
      <c r="F70" t="n">
        <v>130.79</v>
      </c>
    </row>
    <row r="71">
      <c r="A71" t="inlineStr">
        <is>
          <t>11-03</t>
        </is>
      </c>
      <c r="D71" t="n">
        <v>-0.4222582109309059</v>
      </c>
      <c r="F71" t="n">
        <v>130.47</v>
      </c>
    </row>
    <row r="72">
      <c r="A72" t="inlineStr">
        <is>
          <t>11-04</t>
        </is>
      </c>
      <c r="E72" t="n">
        <v>-0.4232293149135664</v>
      </c>
      <c r="F72" t="n">
        <v>129.61</v>
      </c>
    </row>
    <row r="73">
      <c r="A73" t="inlineStr">
        <is>
          <t>11-05</t>
        </is>
      </c>
      <c r="E73" t="n">
        <v>-0.4495927475763519</v>
      </c>
      <c r="F73" t="n">
        <v>128.87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68" customWidth="1" min="2" max="2"/>
  </cols>
  <sheetData>
    <row r="1">
      <c r="A1" s="14" t="inlineStr">
        <is>
          <t>日內交易怎麼用</t>
        </is>
      </c>
    </row>
    <row r="2">
      <c r="A2" s="5" t="inlineStr">
        <is>
          <t>情境</t>
        </is>
      </c>
      <c r="B2" s="5" t="inlineStr">
        <is>
          <t>做法</t>
        </is>
      </c>
    </row>
    <row r="3">
      <c r="A3" s="2" t="inlineStr">
        <is>
          <t>參數</t>
        </is>
      </c>
      <c r="B3" s="6" t="inlineStr">
        <is>
          <t>5 分鐘圖用 MACD(5,13,5)；15 分鐘用 (8,17,9)。用 12/26/9 跑 5 分鐘圖，訊號出來時當日行情已經走完</t>
        </is>
      </c>
    </row>
    <row r="4">
      <c r="A4" s="2" t="inlineStr">
        <is>
          <t>開市首 30 分鐘</t>
        </is>
      </c>
      <c r="B4" s="6" t="inlineStr">
        <is>
          <t>不要用。EMA 需要暖機，5 分鐘圖至少要 26 根 ≈ 130 分鐘才穩定，即約 11:40 ET。這與 10 分鐘均線需要 100 分鐘才成形是同一個道理</t>
        </is>
      </c>
    </row>
    <row r="5">
      <c r="A5" s="2" t="inlineStr">
        <is>
          <t>主要用法</t>
        </is>
      </c>
      <c r="B5" s="6" t="inlineStr">
        <is>
          <t>不是拿來找入場點，是拿來「退出」。持倉中出現 淺綠 + λ&gt;0.5 + 連續 3 根 → 收緊止蝕</t>
        </is>
      </c>
    </row>
    <row r="6">
      <c r="A6" s="2" t="inlineStr">
        <is>
          <t>配合價格結構</t>
        </is>
      </c>
      <c r="B6" s="6" t="inlineStr">
        <is>
          <t>圖中的「升破前頂 / 跌破前底」正是 TRS 的第 ⑥ 項。單看柱體不夠，必須有價格結構確認，否則假訊號率無法接受</t>
        </is>
      </c>
    </row>
    <row r="7">
      <c r="A7" s="2" t="inlineStr">
        <is>
          <t>事件日</t>
        </is>
      </c>
      <c r="B7" s="6" t="inlineStr">
        <is>
          <t>FOMC、業績、CPI 公布前後，柱體形態完全失效 —— 事件會直接跳空抹掉既有動能結構</t>
        </is>
      </c>
    </row>
    <row r="8"/>
    <row r="9">
      <c r="A9" s="7" t="inlineStr">
        <is>
          <t>五個必須知道的陷阱</t>
        </is>
      </c>
    </row>
    <row r="10">
      <c r="A10" s="2" t="inlineStr">
        <is>
          <t>① 顏色不是訊號</t>
        </is>
      </c>
      <c r="B10" s="6" t="inlineStr">
        <is>
          <t>深綠轉淺綠只表示「上升變慢」。健康升勢中這會發生幾十次，單獨用它必然被反覆打臉</t>
        </is>
      </c>
    </row>
    <row r="11">
      <c r="A11" s="2" t="inlineStr">
        <is>
          <t>② 背馳可以連續發生</t>
        </is>
      </c>
      <c r="B11" s="6" t="inlineStr">
        <is>
          <t>頂背馳之後再創新高、再背馳，可以重複三四次。「背馳了就沽」是虧錢最快的用法</t>
        </is>
      </c>
    </row>
    <row r="12">
      <c r="A12" s="2" t="inlineStr">
        <is>
          <t>③ 級別必須一致</t>
        </is>
      </c>
      <c r="B12" s="6" t="inlineStr">
        <is>
          <t>一兩根柱的反彈不是一個波。不做級別過濾，背馳強度會出現 0.99 這種假數字</t>
        </is>
      </c>
    </row>
    <row r="13">
      <c r="A13" s="2" t="inlineStr">
        <is>
          <t>④ 不要用整波峰值算 λ</t>
        </is>
      </c>
      <c r="B13" s="6" t="inlineStr">
        <is>
          <t>那是未來函數。必須用 cummax（至今為止的峰值）</t>
        </is>
      </c>
    </row>
    <row r="14">
      <c r="A14" s="2" t="inlineStr">
        <is>
          <t>⑤ 震盪巿全部失效</t>
        </is>
      </c>
      <c r="B14" s="6" t="inlineStr">
        <is>
          <t>MACD 是趨勢指標。橫行區間內柱體反覆變色，TRS 會不斷誤報</t>
        </is>
      </c>
    </row>
    <row r="15" ht="30" customHeight="1">
      <c r="A15" s="13" t="inlineStr">
        <is>
          <t>免責：本檔為方法論與計算工具說明，不構成投資建議。所有門檻值必須用自己交易的標的與週期回測校準後才可使用。</t>
        </is>
      </c>
    </row>
  </sheetData>
  <mergeCells count="3">
    <mergeCell ref="A1:D1"/>
    <mergeCell ref="A9:D9"/>
    <mergeCell ref="A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84" customWidth="1" min="2" max="2"/>
  </cols>
  <sheetData>
    <row r="1">
      <c r="A1" s="14" t="inlineStr">
        <is>
          <t>把合成資料換成真實行情</t>
        </is>
      </c>
    </row>
    <row r="2">
      <c r="A2" s="5" t="inlineStr">
        <is>
          <t>步驟</t>
        </is>
      </c>
      <c r="B2" s="5" t="inlineStr">
        <is>
          <t>做法</t>
        </is>
      </c>
    </row>
    <row r="3">
      <c r="A3" s="2" t="inlineStr">
        <is>
          <t>1</t>
        </is>
      </c>
      <c r="B3" s="6" t="inlineStr">
        <is>
          <t>準備一個 CSV：第一欄為時間索引，並含 close（或 Close）欄</t>
        </is>
      </c>
    </row>
    <row r="4">
      <c r="A4" s="2" t="inlineStr">
        <is>
          <t>2</t>
        </is>
      </c>
      <c r="B4" s="6" t="inlineStr">
        <is>
          <t>執行：python3 scripts/macd_histogram_momentum.py --csv bars.csv --preset 5min</t>
        </is>
      </c>
    </row>
    <row r="5">
      <c r="A5" s="2" t="inlineStr">
        <is>
          <t>3</t>
        </is>
      </c>
      <c r="B5" s="6" t="inlineStr">
        <is>
          <t>或在程式內：from macd_histogram_momentum import analyse；df, waves, dvg, energy, purity = analyse(close_series, fast=5, slow=13, signal=5)</t>
        </is>
      </c>
    </row>
    <row r="6">
      <c r="A6" s="2" t="inlineStr">
        <is>
          <t>4</t>
        </is>
      </c>
      <c r="B6" s="6" t="inlineStr">
        <is>
          <t>輸出明細：加 --out result.csv</t>
        </is>
      </c>
    </row>
    <row r="7">
      <c r="A7" s="2" t="inlineStr">
        <is>
          <t>5</t>
        </is>
      </c>
      <c r="B7" s="6" t="inlineStr">
        <is>
          <t>若已有行情來源，可直接沿用 scripts/screen_20min_ma.py 內的 fetch_intraday()，它已封裝好取價邏輯，換掉資料源即可</t>
        </is>
      </c>
    </row>
    <row r="8" ht="30" customHeight="1">
      <c r="A8" s="13" t="inlineStr">
        <is>
          <t>本工作階段的行情 API（Yahoo / Polygon / Stooq / AlphaVantage 等）全部被網絡出口政策封鎖，回應 403，故無法在此直接接上真實資料。</t>
        </is>
      </c>
    </row>
  </sheetData>
  <mergeCells count="2">
    <mergeCell ref="A1:C1"/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6" customWidth="1" min="4" max="4"/>
  </cols>
  <sheetData>
    <row r="1" ht="24" customHeight="1">
      <c r="A1" s="22" t="inlineStr">
        <is>
          <t>TradingView 連結索引（本檔案出現過的所有代號）</t>
        </is>
      </c>
    </row>
    <row r="2" ht="32" customHeight="1">
      <c r="A2" s="23" t="inlineStr">
        <is>
          <t>原地已加連結的儲存格：0 個。另有 0 個儲存格同時提及多個代號 —— Excel 不支援在單一儲存格內為部分文字加連結，故該類儲存格不在原地處理，改由本表覆蓋。點擊下方連結即可開啟該代號的 TradingView 圖表。</t>
        </is>
      </c>
    </row>
    <row r="4" ht="20" customHeight="1">
      <c r="A4" s="24" t="inlineStr">
        <is>
          <t>代號</t>
        </is>
      </c>
      <c r="B4" s="24" t="inlineStr">
        <is>
          <t>名稱</t>
        </is>
      </c>
      <c r="C4" s="24" t="inlineStr">
        <is>
          <t>TradingView</t>
        </is>
      </c>
      <c r="D4" s="24" t="inlineStr">
        <is>
          <t>出現位置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2026-09-17T01:26:30Z</dcterms:created>
  <dcterms:modified xmlns:dcterms="http://purl.org/dc/terms/" xmlns:xsi="http://www.w3.org/2001/XMLSchema-instance" xsi:type="dcterms:W3CDTF">2026-09-18T01:44:52Z</dcterms:modified>
</cp:coreProperties>
</file>